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A3A8497-0D67-48FE-9C18-443FBE85F8FB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Instructions" sheetId="1" r:id="rId1"/>
    <sheet name="Bedaya" sheetId="2" r:id="rId2"/>
    <sheet name="Promenade" sheetId="3" r:id="rId3"/>
    <sheet name="Lists" sheetId="4" r:id="rId4"/>
  </sheets>
  <definedNames>
    <definedName name="_xlnm._FilterDatabase" localSheetId="1" hidden="1">Bedaya!$A$7:$L$69</definedName>
    <definedName name="_xlnm._FilterDatabase" localSheetId="2" hidden="1">Promenade!$A$7:$L$86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3" l="1"/>
  <c r="E2" i="3"/>
  <c r="E3" i="2"/>
  <c r="E2" i="2"/>
</calcChain>
</file>

<file path=xl/sharedStrings.xml><?xml version="1.0" encoding="utf-8"?>
<sst xmlns="http://schemas.openxmlformats.org/spreadsheetml/2006/main" count="883" uniqueCount="387">
  <si>
    <t>ELITE ACADEMY - MONTHLY STOCK CORRECTION SHEET</t>
  </si>
  <si>
    <t>Goal: what is on the shelf must equal what Mindbody shows, exactly. Every line on your branch sheet is a difference between our count and Mindbody.</t>
  </si>
  <si>
    <t>WHAT TO DO</t>
  </si>
  <si>
    <t>1. Recount every line on your branch sheet (shelf, back store, display, office, boxes). Two people: one counts, one writes.</t>
  </si>
  <si>
    <t>2. Type the recounted number in the yellow FINAL COUNT column. If you cannot find the item, enter 0.</t>
  </si>
  <si>
    <t>3. Choose the Reason for the difference from the dropdown. Add details in Comments if needed. The reason cell turns red until it is filled.</t>
  </si>
  <si>
    <t>4. The FINAL COUNT is the official number. Update Mindbody to match it (use a Mindbody adjustment with the reason; enter branch-to-branch moves as a transfer), then set 'Mindbody updated to match?' to Yes.</t>
  </si>
  <si>
    <t>5. Fill in your name and the date at the top of the sheet, then send the file back to head office.</t>
  </si>
  <si>
    <t>ISSUE TYPES</t>
  </si>
  <si>
    <t>Quantity differs: your count and Mindbody are both there but the numbers differ.</t>
  </si>
  <si>
    <t>Count missing: the count sheet had no quantity for this line. Count it now.</t>
  </si>
  <si>
    <t>Not counted - in Mindbody: Mindbody has stock that was not counted. Count it; enter 0 if there is none.</t>
  </si>
  <si>
    <t>Not in Mindbody: stock is on the shelf but the product or size is not in Mindbody. Enter the count; the product will be created in Mindbody.</t>
  </si>
  <si>
    <t>Not in Mindbody - old / Judo: old, no-logo or Judo stock. Enter the count; head office decides how it is handled.</t>
  </si>
  <si>
    <t>Event / test product: not a physical item; enter 0.</t>
  </si>
  <si>
    <t>MONTHLY ROUTINE</t>
  </si>
  <si>
    <t>Each month: pull the Mindbody Inventory On Hand report, count all stock, compare (head office), recount only the lines with differences, enter FINAL COUNTs and reasons, update Mindbody. Target: zero differences next month.</t>
  </si>
  <si>
    <t>Bedaya - recount and final counts</t>
  </si>
  <si>
    <t>Admin name:</t>
  </si>
  <si>
    <t>Lines to complete:</t>
  </si>
  <si>
    <t>Date:</t>
  </si>
  <si>
    <t>Lines completed:</t>
  </si>
  <si>
    <t>Recount each line. Enter the recounted number in FINAL COUNT (0 if none found) and pick a reason. The FINAL COUNT is the official number.</t>
  </si>
  <si>
    <t>ID</t>
  </si>
  <si>
    <t>Item</t>
  </si>
  <si>
    <t>Size</t>
  </si>
  <si>
    <t>Mindbody product / size</t>
  </si>
  <si>
    <t>Our count</t>
  </si>
  <si>
    <t>Mindbody qty</t>
  </si>
  <si>
    <t>Issue</t>
  </si>
  <si>
    <t>Head office note</t>
  </si>
  <si>
    <t>FINAL COUNT</t>
  </si>
  <si>
    <t>Reason for difference</t>
  </si>
  <si>
    <t>Mindbody updated to match?</t>
  </si>
  <si>
    <t>Comments</t>
  </si>
  <si>
    <t>B-001</t>
  </si>
  <si>
    <t>Boxing Gloves</t>
  </si>
  <si>
    <t>6oz</t>
  </si>
  <si>
    <t>Boxing Gloves 6 oz</t>
  </si>
  <si>
    <t>Quantity differs</t>
  </si>
  <si>
    <t>Our count = the 20 Sep count minus pairs sent to Promenade on 19 Sep (can be negative). Recount what is on the shelf now, and enter the move in Mindbody as a transfer.</t>
  </si>
  <si>
    <t>B-002</t>
  </si>
  <si>
    <t>8oz</t>
  </si>
  <si>
    <t>Boxing Gloves 8 oz</t>
  </si>
  <si>
    <t>B-003</t>
  </si>
  <si>
    <t>10oz</t>
  </si>
  <si>
    <t>Boxing Gloves 10 oz</t>
  </si>
  <si>
    <t>B-004</t>
  </si>
  <si>
    <t>12oz</t>
  </si>
  <si>
    <t>Boxing Gloves 12 oz</t>
  </si>
  <si>
    <t>B-005</t>
  </si>
  <si>
    <t>Kajukimbo Patch - Circle (Front) + Kajukimbo Patch - Shoulder</t>
  </si>
  <si>
    <t>- + -</t>
  </si>
  <si>
    <t>Kajukenbo Patch (one line for both patches)</t>
  </si>
  <si>
    <t>Circle 25 + Shoulder 26 compared with the single Mindbody line (Promenade patches excluded)</t>
  </si>
  <si>
    <t>B-006</t>
  </si>
  <si>
    <t>Judo Uniform</t>
  </si>
  <si>
    <t>100cm</t>
  </si>
  <si>
    <t>New Judo 100</t>
  </si>
  <si>
    <t>Judo - No Program tab (physical 9 vs 8)</t>
  </si>
  <si>
    <t>B-007</t>
  </si>
  <si>
    <t>Karate Uniform</t>
  </si>
  <si>
    <t>150cm</t>
  </si>
  <si>
    <t>New Karate 150</t>
  </si>
  <si>
    <t>Mindbody 150 = 2 (the '150 / 160' line is 0)</t>
  </si>
  <si>
    <t>B-008</t>
  </si>
  <si>
    <t>160cm</t>
  </si>
  <si>
    <t>New Karate 160</t>
  </si>
  <si>
    <t>B-009</t>
  </si>
  <si>
    <t>Taekwondo Uniform</t>
  </si>
  <si>
    <t>New Taekwondo 150</t>
  </si>
  <si>
    <t>B-010</t>
  </si>
  <si>
    <t>Shin Guard</t>
  </si>
  <si>
    <t>XS</t>
  </si>
  <si>
    <t>Shin Guard Extra Small</t>
  </si>
  <si>
    <t>B-011</t>
  </si>
  <si>
    <t>S</t>
  </si>
  <si>
    <t>Shin Guard Small</t>
  </si>
  <si>
    <t>B-012</t>
  </si>
  <si>
    <t>M</t>
  </si>
  <si>
    <t>Shin Guard Medium</t>
  </si>
  <si>
    <t>B-013</t>
  </si>
  <si>
    <t>L</t>
  </si>
  <si>
    <t>Shin Guard Large</t>
  </si>
  <si>
    <t>B-014</t>
  </si>
  <si>
    <t>XL</t>
  </si>
  <si>
    <t>Shin Guard Extra Large</t>
  </si>
  <si>
    <t>B-015</t>
  </si>
  <si>
    <t>Systema T-shirt (Gray)</t>
  </si>
  <si>
    <t>Systema Shirt Grey X Large</t>
  </si>
  <si>
    <t>B-016</t>
  </si>
  <si>
    <t>170cm</t>
  </si>
  <si>
    <t>New Judo 170</t>
  </si>
  <si>
    <t>Count missing</t>
  </si>
  <si>
    <t>Physical quantity was never written - confirm</t>
  </si>
  <si>
    <t>B-017</t>
  </si>
  <si>
    <t>Judo Uniform (With Logo)</t>
  </si>
  <si>
    <t>150cm (upper only)</t>
  </si>
  <si>
    <t>(not in Mindbody)</t>
  </si>
  <si>
    <t>Old / no-logo stock | quantity not written</t>
  </si>
  <si>
    <t>B-018</t>
  </si>
  <si>
    <t>Boys Protective Gear</t>
  </si>
  <si>
    <t>(none)</t>
  </si>
  <si>
    <t>Boys Protective Gear (none)</t>
  </si>
  <si>
    <t>Not counted - in Mindbody</t>
  </si>
  <si>
    <t>In Mindbody, not counted in store</t>
  </si>
  <si>
    <t>B-019</t>
  </si>
  <si>
    <t>Elite Jacket</t>
  </si>
  <si>
    <t>Large</t>
  </si>
  <si>
    <t>Elite Jacket Large</t>
  </si>
  <si>
    <t>B-020</t>
  </si>
  <si>
    <t>Elite Shirt (Black)</t>
  </si>
  <si>
    <t>Elite Shirt (Black) (none)</t>
  </si>
  <si>
    <t>B-021</t>
  </si>
  <si>
    <t>Elite Shirt (White)</t>
  </si>
  <si>
    <t>X Large</t>
  </si>
  <si>
    <t>Elite Shirt (White) X Large</t>
  </si>
  <si>
    <t>B-022</t>
  </si>
  <si>
    <t>9 - 10</t>
  </si>
  <si>
    <t>Elite Shirt (White) 9 - 10</t>
  </si>
  <si>
    <t>NEGATIVE stock in Mindbody - adjust | Mindbody shows NEGATIVE stock</t>
  </si>
  <si>
    <t>B-023</t>
  </si>
  <si>
    <t>Free Belts</t>
  </si>
  <si>
    <t>Black</t>
  </si>
  <si>
    <t>Free Belts Black</t>
  </si>
  <si>
    <t>B-024</t>
  </si>
  <si>
    <t>Blue</t>
  </si>
  <si>
    <t>Free Belts Blue</t>
  </si>
  <si>
    <t>B-025</t>
  </si>
  <si>
    <t>Brown</t>
  </si>
  <si>
    <t>Free Belts Brown</t>
  </si>
  <si>
    <t>B-026</t>
  </si>
  <si>
    <t>Green</t>
  </si>
  <si>
    <t>Free Belts Green</t>
  </si>
  <si>
    <t>B-027</t>
  </si>
  <si>
    <t>Orange</t>
  </si>
  <si>
    <t>Free Belts Orange</t>
  </si>
  <si>
    <t>B-028</t>
  </si>
  <si>
    <t>Purple</t>
  </si>
  <si>
    <t>Free Belts Purple</t>
  </si>
  <si>
    <t>B-029</t>
  </si>
  <si>
    <t>Red</t>
  </si>
  <si>
    <t>Free Belts Red</t>
  </si>
  <si>
    <t>B-030</t>
  </si>
  <si>
    <t>Yellow</t>
  </si>
  <si>
    <t>Free Belts Yellow</t>
  </si>
  <si>
    <t>B-031</t>
  </si>
  <si>
    <t>Kyokushin Gloves</t>
  </si>
  <si>
    <t>Medium</t>
  </si>
  <si>
    <t>Kyokushin Gloves Medium</t>
  </si>
  <si>
    <t>B-032</t>
  </si>
  <si>
    <t>Kyokushin Gloves Large</t>
  </si>
  <si>
    <t>B-033</t>
  </si>
  <si>
    <t>Staff Shirt</t>
  </si>
  <si>
    <t>Staff Shirt X Large</t>
  </si>
  <si>
    <t>B-034</t>
  </si>
  <si>
    <t>Systema Shirt</t>
  </si>
  <si>
    <t>Black (no size)</t>
  </si>
  <si>
    <t>Systema Shirt Black (no size)</t>
  </si>
  <si>
    <t>B-035</t>
  </si>
  <si>
    <t>Bottle Water</t>
  </si>
  <si>
    <t>Bottle Water Orange</t>
  </si>
  <si>
    <t>B-036</t>
  </si>
  <si>
    <t>White</t>
  </si>
  <si>
    <t>Bottle Water White</t>
  </si>
  <si>
    <t>B-037</t>
  </si>
  <si>
    <t>Instructor T-shirt (Elite Logo)</t>
  </si>
  <si>
    <t>Instructor Shirt (no XL / L line)</t>
  </si>
  <si>
    <t>Not in Mindbody</t>
  </si>
  <si>
    <t>Mindbody only has Grey S and XXL (both 0)</t>
  </si>
  <si>
    <t>B-038</t>
  </si>
  <si>
    <t>B-039</t>
  </si>
  <si>
    <t>Kajukimbo Uniform</t>
  </si>
  <si>
    <t>190cm</t>
  </si>
  <si>
    <t>Kajukenbo Uniform w/ Patches (no 190 line)</t>
  </si>
  <si>
    <t>Mindbody only has size 210 (0)</t>
  </si>
  <si>
    <t>B-040</t>
  </si>
  <si>
    <t>200cm</t>
  </si>
  <si>
    <t>Kajukenbo Uniform w/ Patches (no 200 line)</t>
  </si>
  <si>
    <t>B-041</t>
  </si>
  <si>
    <t>Mouth Guard</t>
  </si>
  <si>
    <t>Junior</t>
  </si>
  <si>
    <t>Mouth Guard (no Junior line)</t>
  </si>
  <si>
    <t>No Junior mouth guard in Mindbody</t>
  </si>
  <si>
    <t>B-042</t>
  </si>
  <si>
    <t>New Karate (no 190 line)</t>
  </si>
  <si>
    <t>No 190 size in Mindbody</t>
  </si>
  <si>
    <t>B-043</t>
  </si>
  <si>
    <t>Supporter</t>
  </si>
  <si>
    <t>Supporter (not in Mindbody)</t>
  </si>
  <si>
    <t>No supporter / groin guard product in Mindbody</t>
  </si>
  <si>
    <t>B-044</t>
  </si>
  <si>
    <t>B-045</t>
  </si>
  <si>
    <t>Systema Shirt (no Grey M line)</t>
  </si>
  <si>
    <t>Mindbody only has Grey XL and XXX Large</t>
  </si>
  <si>
    <t>B-046</t>
  </si>
  <si>
    <t>Systema Shirt (no Grey S line)</t>
  </si>
  <si>
    <t>B-047</t>
  </si>
  <si>
    <t>Karate Uniform (No Logo)</t>
  </si>
  <si>
    <t>120cm</t>
  </si>
  <si>
    <t>Not in Mindbody - old / Judo</t>
  </si>
  <si>
    <t>Old / no-logo stock</t>
  </si>
  <si>
    <t>B-048</t>
  </si>
  <si>
    <t>110cm</t>
  </si>
  <si>
    <t>B-049</t>
  </si>
  <si>
    <t>B-050</t>
  </si>
  <si>
    <t>Taekwondo Uniform (Old)</t>
  </si>
  <si>
    <t>B-051</t>
  </si>
  <si>
    <t>B-052</t>
  </si>
  <si>
    <t>130cm (upper only)</t>
  </si>
  <si>
    <t>B-053</t>
  </si>
  <si>
    <t>140cm</t>
  </si>
  <si>
    <t>B-054</t>
  </si>
  <si>
    <t>130cm</t>
  </si>
  <si>
    <t>B-055</t>
  </si>
  <si>
    <t>110cm (upper only)</t>
  </si>
  <si>
    <t>B-056</t>
  </si>
  <si>
    <t>100cm (upper only)</t>
  </si>
  <si>
    <t>B-057</t>
  </si>
  <si>
    <t>Judo Uniform (No Logo)</t>
  </si>
  <si>
    <t>B-058</t>
  </si>
  <si>
    <t>B-059</t>
  </si>
  <si>
    <t>B-060</t>
  </si>
  <si>
    <t>Elite Tournament</t>
  </si>
  <si>
    <t>Elite Tournament (none)</t>
  </si>
  <si>
    <t>Event / test product</t>
  </si>
  <si>
    <t>Event/service item with negative stock - not a physical item</t>
  </si>
  <si>
    <t>B-061</t>
  </si>
  <si>
    <t>Kyokushin Test</t>
  </si>
  <si>
    <t>Kyokushin Test (none)</t>
  </si>
  <si>
    <t>Event/test item with negative stock - not a physical item</t>
  </si>
  <si>
    <t>B-062</t>
  </si>
  <si>
    <t>Taekwondo Test</t>
  </si>
  <si>
    <t>Taekwondo Test (none)</t>
  </si>
  <si>
    <t>Promenade - recount and final counts</t>
  </si>
  <si>
    <t>P-001</t>
  </si>
  <si>
    <t>White T-shirt (Elite)</t>
  </si>
  <si>
    <t>5/6</t>
  </si>
  <si>
    <t>Elite Shirt (White) 5 - 6</t>
  </si>
  <si>
    <t>'From Argan (Old)' 5/6 (1) is listed separately and not included here</t>
  </si>
  <si>
    <t>P-002</t>
  </si>
  <si>
    <t>9/10</t>
  </si>
  <si>
    <t>P-003</t>
  </si>
  <si>
    <t>Physical 4 = 2 counted (New items) + 2 transferred; Mindbody 2 = transfer only</t>
  </si>
  <si>
    <t>P-004</t>
  </si>
  <si>
    <t>Gloves (Elite Logo) - Old</t>
  </si>
  <si>
    <t>Quantity was not written on the count sheet</t>
  </si>
  <si>
    <t>P-005</t>
  </si>
  <si>
    <t>P-006</t>
  </si>
  <si>
    <t>Systema Shirt exists in Bedaya Mindbody, not set up at Promenade | Quantity was not written on the count sheet</t>
  </si>
  <si>
    <t>P-007</t>
  </si>
  <si>
    <t>Karate Gloves (Blue)</t>
  </si>
  <si>
    <t>P-008</t>
  </si>
  <si>
    <t>Judo (No Program) | Quantity was not written on the count sheet</t>
  </si>
  <si>
    <t>P-009</t>
  </si>
  <si>
    <t>P-010</t>
  </si>
  <si>
    <t>Kajukimbo Patch - Shoulder</t>
  </si>
  <si>
    <t>-</t>
  </si>
  <si>
    <t>Kajukenbo Patch exists in Bedaya Mindbody, not set up at Promenade</t>
  </si>
  <si>
    <t>P-011</t>
  </si>
  <si>
    <t>Kajukimbo Patch - Circle (Front)</t>
  </si>
  <si>
    <t>P-012</t>
  </si>
  <si>
    <t>White T-shirt (Elite) - From Argan (Old)</t>
  </si>
  <si>
    <t>13/14</t>
  </si>
  <si>
    <t>P-013</t>
  </si>
  <si>
    <t>11/12</t>
  </si>
  <si>
    <t>P-014</t>
  </si>
  <si>
    <t>P-015</t>
  </si>
  <si>
    <t>3/4</t>
  </si>
  <si>
    <t>P-016</t>
  </si>
  <si>
    <t>Instructor Shirt exists in Bedaya Mindbody, not set up at Promenade</t>
  </si>
  <si>
    <t>P-017</t>
  </si>
  <si>
    <t>Elite T-shirt (Gray)</t>
  </si>
  <si>
    <t>P-018</t>
  </si>
  <si>
    <t>P-019</t>
  </si>
  <si>
    <t>Students' Elite T-shirt (White)</t>
  </si>
  <si>
    <t>Mindbody Promenade has only kids' Elite Shirt sizes (3-4 to 11-12)</t>
  </si>
  <si>
    <t>P-020</t>
  </si>
  <si>
    <t>Short Pants (Black)</t>
  </si>
  <si>
    <t>P-021</t>
  </si>
  <si>
    <t>Headguard (Elite Logo)</t>
  </si>
  <si>
    <t>P-022</t>
  </si>
  <si>
    <t>Boxing Gloves (Elite Logo)</t>
  </si>
  <si>
    <t>P-023</t>
  </si>
  <si>
    <t>P-024</t>
  </si>
  <si>
    <t>MMA Gloves (Elite Logo)</t>
  </si>
  <si>
    <t>P-025</t>
  </si>
  <si>
    <t>P-026</t>
  </si>
  <si>
    <t>Shin Guard (Elite Logo) - Old</t>
  </si>
  <si>
    <t>P-027</t>
  </si>
  <si>
    <t>Jiu Jitsu Uniform (Elite Logo)</t>
  </si>
  <si>
    <t>A3 - Black</t>
  </si>
  <si>
    <t>Jiu Jitsu Uniforms exist in Bedaya Mindbody, not set up at Promenade</t>
  </si>
  <si>
    <t>P-028</t>
  </si>
  <si>
    <t>3/180 - Gray</t>
  </si>
  <si>
    <t>P-029</t>
  </si>
  <si>
    <t>A3 - Gray/Blue</t>
  </si>
  <si>
    <t>P-030</t>
  </si>
  <si>
    <t>Systema T-shirt (Black)</t>
  </si>
  <si>
    <t>Systema Shirt exists in Bedaya Mindbody, not set up at Promenade</t>
  </si>
  <si>
    <t>P-031</t>
  </si>
  <si>
    <t>P-032</t>
  </si>
  <si>
    <t>P-033</t>
  </si>
  <si>
    <t>40</t>
  </si>
  <si>
    <t>P-034</t>
  </si>
  <si>
    <t>38</t>
  </si>
  <si>
    <t>P-035</t>
  </si>
  <si>
    <t>36</t>
  </si>
  <si>
    <t>P-036</t>
  </si>
  <si>
    <t>3XL</t>
  </si>
  <si>
    <t>P-037</t>
  </si>
  <si>
    <t>XXL</t>
  </si>
  <si>
    <t>P-038</t>
  </si>
  <si>
    <t>P-039</t>
  </si>
  <si>
    <t>P-040</t>
  </si>
  <si>
    <t>P-041</t>
  </si>
  <si>
    <t>Elite T-shirt with Logo (Old)</t>
  </si>
  <si>
    <t>XL / Black</t>
  </si>
  <si>
    <t>P-042</t>
  </si>
  <si>
    <t>M / Black</t>
  </si>
  <si>
    <t>P-043</t>
  </si>
  <si>
    <t>S / Black</t>
  </si>
  <si>
    <t>P-044</t>
  </si>
  <si>
    <t>XS / Black</t>
  </si>
  <si>
    <t>P-045</t>
  </si>
  <si>
    <t>L / White</t>
  </si>
  <si>
    <t>P-046</t>
  </si>
  <si>
    <t>XS / White</t>
  </si>
  <si>
    <t>P-047</t>
  </si>
  <si>
    <t>Kajukimbo Uniform (With Logo, No Patches)</t>
  </si>
  <si>
    <t>Kajukenbo Uniform w/ Patches exists in Bedaya Mindbody, not set up at Promenade</t>
  </si>
  <si>
    <t>P-048</t>
  </si>
  <si>
    <t>P-049</t>
  </si>
  <si>
    <t>Backpack with Elite Logo</t>
  </si>
  <si>
    <t>Elite Bag exists in Bedaya Mindbody, not set up at Promenade</t>
  </si>
  <si>
    <t>P-050</t>
  </si>
  <si>
    <t>Pants (Small)</t>
  </si>
  <si>
    <t>P-051</t>
  </si>
  <si>
    <t>P-052</t>
  </si>
  <si>
    <t>P-053</t>
  </si>
  <si>
    <t>Damaged Items (item not specified)</t>
  </si>
  <si>
    <t>P-054</t>
  </si>
  <si>
    <t>P-055</t>
  </si>
  <si>
    <t>No supporter product in Mindbody</t>
  </si>
  <si>
    <t>P-056</t>
  </si>
  <si>
    <t>P-057</t>
  </si>
  <si>
    <t>P-058</t>
  </si>
  <si>
    <t>P-059</t>
  </si>
  <si>
    <t>Bottle Water exists in Bedaya Mindbody, not set up at Promenade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</si>
  <si>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</si>
  <si>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</si>
  <si>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</si>
  <si>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</si>
  <si>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</si>
  <si>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</si>
  <si>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</si>
  <si>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</si>
  <si>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</si>
  <si>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Kajukimbo Uniform (No Logo)</t>
  </si>
  <si>
    <t>P-069</t>
  </si>
  <si>
    <t>P-070</t>
  </si>
  <si>
    <t>Backpack (No Logo)</t>
  </si>
  <si>
    <t>P-071</t>
  </si>
  <si>
    <t>Judo (No Program)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</si>
  <si>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</si>
  <si>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</si>
  <si>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</si>
  <si>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</si>
  <si>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</si>
  <si>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</si>
  <si>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</si>
  <si>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</si>
  <si>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Reason</t>
  </si>
  <si>
    <t>Yes/No</t>
  </si>
  <si>
    <t>Miscounted before - recount is correct</t>
  </si>
  <si>
    <t>Yes</t>
  </si>
  <si>
    <t>Unrecorded sale</t>
  </si>
  <si>
    <t>No</t>
  </si>
  <si>
    <t>Sold on wrong size</t>
  </si>
  <si>
    <t>Unrecorded transfer</t>
  </si>
  <si>
    <t>Stock received, not entered</t>
  </si>
  <si>
    <t>Damaged / lost</t>
  </si>
  <si>
    <t>Staff or sample use</t>
  </si>
  <si>
    <t>Wrong name or size in Mindbody</t>
  </si>
  <si>
    <t>Product not created in Mindbody</t>
  </si>
  <si>
    <t>Old / discontinued stock</t>
  </si>
  <si>
    <t>Other (see comments)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</si>
</sst>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0" fillId="2" borderId="1" xfId="0" applyFill="1" applyBorder="1"/>
    <xf numFmtId="0" fontId="2" fillId="0" borderId="0" xfId="0" applyFont="1"/>
    <xf numFmtId="164" fontId="0" fillId="2" borderId="1" xfId="0" applyNumberFormat="1" applyFill="1" applyBorder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3" borderId="0" xfId="0" applyFont="1" applyFill="1"/>
  </cellXfs>
  <cellStyles count="1">
    <cellStyle name="Normal" xfId="0" builtinId="0"/>
  </cellStyles>
  <dxfs count="4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defaultColWidth="8.6328125" defaultRowHeight="14.5" x14ac:dyDescent="0.35"/>
  <cols>
    <col min="1" max="1" width="130" customWidth="1"/>
  </cols>
  <sheetData>
    <row r="1" spans="1:1" ht="15.5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/>
    </row>
    <row r="4" spans="1:1" x14ac:dyDescent="0.35">
      <c r="A4" s="3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ht="25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/>
    </row>
    <row r="11" spans="1:1" x14ac:dyDescent="0.35">
      <c r="A11" s="3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/>
    </row>
    <row r="19" spans="1:1" x14ac:dyDescent="0.35">
      <c r="A19" s="3" t="s">
        <v>15</v>
      </c>
    </row>
    <row r="20" spans="1:1" ht="25" x14ac:dyDescent="0.35">
      <c r="A20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8.6328125" defaultRowHeight="14.5" x14ac:dyDescent="0.35"/>
  <cols>
    <col min="1" max="1" width="8" customWidth="1"/>
    <col min="2" max="2" width="34" customWidth="1"/>
    <col min="3" max="3" width="16" customWidth="1"/>
    <col min="4" max="4" width="30" customWidth="1"/>
    <col min="5" max="5" width="10" customWidth="1"/>
    <col min="6" max="6" width="11" customWidth="1"/>
    <col min="7" max="7" width="26" customWidth="1"/>
    <col min="8" max="8" width="52" customWidth="1"/>
    <col min="9" max="9" width="12" customWidth="1"/>
    <col min="10" max="10" width="34" customWidth="1"/>
    <col min="11" max="11" width="16" customWidth="1"/>
    <col min="12" max="12" width="36" customWidth="1"/>
  </cols>
  <sheetData>
    <row r="1" spans="1:12" ht="16.5" x14ac:dyDescent="0.35">
      <c r="A1" s="4" t="s">
        <v>17</v>
      </c>
    </row>
    <row r="2" spans="1:12" x14ac:dyDescent="0.35">
      <c r="A2" s="5" t="s">
        <v>18</v>
      </c>
      <c r="B2" s="6"/>
      <c r="D2" s="5" t="s">
        <v>19</v>
      </c>
      <c r="E2" s="7">
        <f>COUNTA(A8:A69)</f>
        <v>62</v>
      </c>
    </row>
    <row r="3" spans="1:12" x14ac:dyDescent="0.35">
      <c r="A3" s="5" t="s">
        <v>20</v>
      </c>
      <c r="B3" s="8"/>
      <c r="D3" s="5" t="s">
        <v>21</v>
      </c>
      <c r="E3" s="7">
        <f>COUNT(I8:I69)</f>
        <v>0</v>
      </c>
    </row>
    <row r="4" spans="1:12" x14ac:dyDescent="0.35">
      <c r="A4" s="9" t="s">
        <v>22</v>
      </c>
    </row>
    <row r="7" spans="1:12" ht="36" customHeight="1" x14ac:dyDescent="0.35">
      <c r="A7" s="10" t="s">
        <v>23</v>
      </c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30</v>
      </c>
      <c r="I7" s="11" t="s">
        <v>31</v>
      </c>
      <c r="J7" s="11" t="s">
        <v>32</v>
      </c>
      <c r="K7" s="11" t="s">
        <v>33</v>
      </c>
      <c r="L7" s="11" t="s">
        <v>34</v>
      </c>
    </row>
    <row r="8" spans="1:12" ht="37.5" x14ac:dyDescent="0.35">
      <c r="A8" s="12" t="s">
        <v>35</v>
      </c>
      <c r="B8" s="13" t="s">
        <v>36</v>
      </c>
      <c r="C8" s="14" t="s">
        <v>37</v>
      </c>
      <c r="D8" s="13" t="s">
        <v>38</v>
      </c>
      <c r="E8" s="12">
        <v>-1</v>
      </c>
      <c r="F8" s="12">
        <v>1</v>
      </c>
      <c r="G8" s="13" t="s">
        <v>39</v>
      </c>
      <c r="H8" s="13" t="s">
        <v>40</v>
      </c>
      <c r="I8" s="15"/>
      <c r="J8" s="16"/>
      <c r="K8" s="15"/>
      <c r="L8" s="16"/>
    </row>
    <row r="9" spans="1:12" ht="37.5" x14ac:dyDescent="0.35">
      <c r="A9" s="12" t="s">
        <v>41</v>
      </c>
      <c r="B9" s="13" t="s">
        <v>36</v>
      </c>
      <c r="C9" s="14" t="s">
        <v>42</v>
      </c>
      <c r="D9" s="13" t="s">
        <v>43</v>
      </c>
      <c r="E9" s="12">
        <v>1</v>
      </c>
      <c r="F9" s="12">
        <v>3</v>
      </c>
      <c r="G9" s="13" t="s">
        <v>39</v>
      </c>
      <c r="H9" s="13" t="s">
        <v>40</v>
      </c>
      <c r="I9" s="15"/>
      <c r="J9" s="16"/>
      <c r="K9" s="15"/>
      <c r="L9" s="16"/>
    </row>
    <row r="10" spans="1:12" ht="37.5" x14ac:dyDescent="0.35">
      <c r="A10" s="12" t="s">
        <v>44</v>
      </c>
      <c r="B10" s="13" t="s">
        <v>36</v>
      </c>
      <c r="C10" s="14" t="s">
        <v>45</v>
      </c>
      <c r="D10" s="13" t="s">
        <v>46</v>
      </c>
      <c r="E10" s="12">
        <v>0</v>
      </c>
      <c r="F10" s="12">
        <v>2</v>
      </c>
      <c r="G10" s="13" t="s">
        <v>39</v>
      </c>
      <c r="H10" s="13" t="s">
        <v>40</v>
      </c>
      <c r="I10" s="15"/>
      <c r="J10" s="16"/>
      <c r="K10" s="15"/>
      <c r="L10" s="16"/>
    </row>
    <row r="11" spans="1:12" ht="37.5" x14ac:dyDescent="0.35">
      <c r="A11" s="12" t="s">
        <v>47</v>
      </c>
      <c r="B11" s="13" t="s">
        <v>36</v>
      </c>
      <c r="C11" s="14" t="s">
        <v>48</v>
      </c>
      <c r="D11" s="13" t="s">
        <v>49</v>
      </c>
      <c r="E11" s="12">
        <v>0</v>
      </c>
      <c r="F11" s="12">
        <v>11</v>
      </c>
      <c r="G11" s="13" t="s">
        <v>39</v>
      </c>
      <c r="H11" s="13" t="s">
        <v>40</v>
      </c>
      <c r="I11" s="15"/>
      <c r="J11" s="16"/>
      <c r="K11" s="15"/>
      <c r="L11" s="16"/>
    </row>
    <row r="12" spans="1:12" ht="25" x14ac:dyDescent="0.35">
      <c r="A12" s="12" t="s">
        <v>50</v>
      </c>
      <c r="B12" s="13" t="s">
        <v>51</v>
      </c>
      <c r="C12" s="14" t="s">
        <v>52</v>
      </c>
      <c r="D12" s="13" t="s">
        <v>53</v>
      </c>
      <c r="E12" s="12">
        <v>51</v>
      </c>
      <c r="F12" s="12">
        <v>62</v>
      </c>
      <c r="G12" s="13" t="s">
        <v>39</v>
      </c>
      <c r="H12" s="13" t="s">
        <v>54</v>
      </c>
      <c r="I12" s="15"/>
      <c r="J12" s="16"/>
      <c r="K12" s="15"/>
      <c r="L12" s="16"/>
    </row>
    <row r="13" spans="1:12" x14ac:dyDescent="0.35">
      <c r="A13" s="12" t="s">
        <v>55</v>
      </c>
      <c r="B13" s="13" t="s">
        <v>56</v>
      </c>
      <c r="C13" s="14" t="s">
        <v>57</v>
      </c>
      <c r="D13" s="13" t="s">
        <v>58</v>
      </c>
      <c r="E13" s="12">
        <v>9</v>
      </c>
      <c r="F13" s="12">
        <v>8</v>
      </c>
      <c r="G13" s="13" t="s">
        <v>39</v>
      </c>
      <c r="H13" s="13" t="s">
        <v>59</v>
      </c>
      <c r="I13" s="15"/>
      <c r="J13" s="16"/>
      <c r="K13" s="15"/>
      <c r="L13" s="16"/>
    </row>
    <row r="14" spans="1:12" x14ac:dyDescent="0.35">
      <c r="A14" s="12" t="s">
        <v>60</v>
      </c>
      <c r="B14" s="13" t="s">
        <v>61</v>
      </c>
      <c r="C14" s="14" t="s">
        <v>62</v>
      </c>
      <c r="D14" s="13" t="s">
        <v>63</v>
      </c>
      <c r="E14" s="12">
        <v>4</v>
      </c>
      <c r="F14" s="12">
        <v>2</v>
      </c>
      <c r="G14" s="13" t="s">
        <v>39</v>
      </c>
      <c r="H14" s="13" t="s">
        <v>64</v>
      </c>
      <c r="I14" s="15"/>
      <c r="J14" s="16"/>
      <c r="K14" s="15"/>
      <c r="L14" s="16"/>
    </row>
    <row r="15" spans="1:12" x14ac:dyDescent="0.35">
      <c r="A15" s="12" t="s">
        <v>65</v>
      </c>
      <c r="B15" s="13" t="s">
        <v>61</v>
      </c>
      <c r="C15" s="14" t="s">
        <v>66</v>
      </c>
      <c r="D15" s="13" t="s">
        <v>67</v>
      </c>
      <c r="E15" s="12">
        <v>4</v>
      </c>
      <c r="F15" s="12">
        <v>3</v>
      </c>
      <c r="G15" s="13" t="s">
        <v>39</v>
      </c>
      <c r="H15" s="13"/>
      <c r="I15" s="15"/>
      <c r="J15" s="16"/>
      <c r="K15" s="15"/>
      <c r="L15" s="16"/>
    </row>
    <row r="16" spans="1:12" x14ac:dyDescent="0.35">
      <c r="A16" s="12" t="s">
        <v>68</v>
      </c>
      <c r="B16" s="13" t="s">
        <v>69</v>
      </c>
      <c r="C16" s="14" t="s">
        <v>62</v>
      </c>
      <c r="D16" s="13" t="s">
        <v>70</v>
      </c>
      <c r="E16" s="12">
        <v>3</v>
      </c>
      <c r="F16" s="12">
        <v>5</v>
      </c>
      <c r="G16" s="13" t="s">
        <v>39</v>
      </c>
      <c r="H16" s="13"/>
      <c r="I16" s="15"/>
      <c r="J16" s="16"/>
      <c r="K16" s="15"/>
      <c r="L16" s="16"/>
    </row>
    <row r="17" spans="1:12" ht="37.5" x14ac:dyDescent="0.35">
      <c r="A17" s="12" t="s">
        <v>71</v>
      </c>
      <c r="B17" s="13" t="s">
        <v>72</v>
      </c>
      <c r="C17" s="14" t="s">
        <v>73</v>
      </c>
      <c r="D17" s="13" t="s">
        <v>74</v>
      </c>
      <c r="E17" s="12">
        <v>0</v>
      </c>
      <c r="F17" s="12">
        <v>2</v>
      </c>
      <c r="G17" s="13" t="s">
        <v>39</v>
      </c>
      <c r="H17" s="13" t="s">
        <v>40</v>
      </c>
      <c r="I17" s="15"/>
      <c r="J17" s="16"/>
      <c r="K17" s="15"/>
      <c r="L17" s="16"/>
    </row>
    <row r="18" spans="1:12" ht="37.5" x14ac:dyDescent="0.35">
      <c r="A18" s="12" t="s">
        <v>75</v>
      </c>
      <c r="B18" s="13" t="s">
        <v>72</v>
      </c>
      <c r="C18" s="14" t="s">
        <v>76</v>
      </c>
      <c r="D18" s="13" t="s">
        <v>77</v>
      </c>
      <c r="E18" s="12">
        <v>0</v>
      </c>
      <c r="F18" s="12">
        <v>1</v>
      </c>
      <c r="G18" s="13" t="s">
        <v>39</v>
      </c>
      <c r="H18" s="13" t="s">
        <v>40</v>
      </c>
      <c r="I18" s="15"/>
      <c r="J18" s="16"/>
      <c r="K18" s="15"/>
      <c r="L18" s="16"/>
    </row>
    <row r="19" spans="1:12" ht="37.5" x14ac:dyDescent="0.35">
      <c r="A19" s="12" t="s">
        <v>78</v>
      </c>
      <c r="B19" s="13" t="s">
        <v>72</v>
      </c>
      <c r="C19" s="14" t="s">
        <v>79</v>
      </c>
      <c r="D19" s="13" t="s">
        <v>80</v>
      </c>
      <c r="E19" s="12">
        <v>-1</v>
      </c>
      <c r="F19" s="12">
        <v>1</v>
      </c>
      <c r="G19" s="13" t="s">
        <v>39</v>
      </c>
      <c r="H19" s="13" t="s">
        <v>40</v>
      </c>
      <c r="I19" s="15"/>
      <c r="J19" s="16"/>
      <c r="K19" s="15"/>
      <c r="L19" s="16"/>
    </row>
    <row r="20" spans="1:12" ht="37.5" x14ac:dyDescent="0.35">
      <c r="A20" s="12" t="s">
        <v>81</v>
      </c>
      <c r="B20" s="13" t="s">
        <v>72</v>
      </c>
      <c r="C20" s="14" t="s">
        <v>82</v>
      </c>
      <c r="D20" s="13" t="s">
        <v>83</v>
      </c>
      <c r="E20" s="12">
        <v>0</v>
      </c>
      <c r="F20" s="12">
        <v>2</v>
      </c>
      <c r="G20" s="13" t="s">
        <v>39</v>
      </c>
      <c r="H20" s="13" t="s">
        <v>40</v>
      </c>
      <c r="I20" s="15"/>
      <c r="J20" s="16"/>
      <c r="K20" s="15"/>
      <c r="L20" s="16"/>
    </row>
    <row r="21" spans="1:12" ht="37.5" x14ac:dyDescent="0.35">
      <c r="A21" s="12" t="s">
        <v>84</v>
      </c>
      <c r="B21" s="13" t="s">
        <v>72</v>
      </c>
      <c r="C21" s="14" t="s">
        <v>85</v>
      </c>
      <c r="D21" s="13" t="s">
        <v>86</v>
      </c>
      <c r="E21" s="12">
        <v>-1</v>
      </c>
      <c r="F21" s="12">
        <v>1</v>
      </c>
      <c r="G21" s="13" t="s">
        <v>39</v>
      </c>
      <c r="H21" s="13" t="s">
        <v>40</v>
      </c>
      <c r="I21" s="15"/>
      <c r="J21" s="16"/>
      <c r="K21" s="15"/>
      <c r="L21" s="16"/>
    </row>
    <row r="22" spans="1:12" x14ac:dyDescent="0.35">
      <c r="A22" s="12" t="s">
        <v>87</v>
      </c>
      <c r="B22" s="13" t="s">
        <v>88</v>
      </c>
      <c r="C22" s="14" t="s">
        <v>85</v>
      </c>
      <c r="D22" s="13" t="s">
        <v>89</v>
      </c>
      <c r="E22" s="12">
        <v>1</v>
      </c>
      <c r="F22" s="12">
        <v>0</v>
      </c>
      <c r="G22" s="13" t="s">
        <v>39</v>
      </c>
      <c r="H22" s="13"/>
      <c r="I22" s="15"/>
      <c r="J22" s="16"/>
      <c r="K22" s="15"/>
      <c r="L22" s="16"/>
    </row>
    <row r="23" spans="1:12" x14ac:dyDescent="0.35">
      <c r="A23" s="12" t="s">
        <v>90</v>
      </c>
      <c r="B23" s="13" t="s">
        <v>56</v>
      </c>
      <c r="C23" s="14" t="s">
        <v>91</v>
      </c>
      <c r="D23" s="13" t="s">
        <v>92</v>
      </c>
      <c r="E23" s="12"/>
      <c r="F23" s="12">
        <v>0</v>
      </c>
      <c r="G23" s="13" t="s">
        <v>93</v>
      </c>
      <c r="H23" s="13" t="s">
        <v>94</v>
      </c>
      <c r="I23" s="15"/>
      <c r="J23" s="16"/>
      <c r="K23" s="15"/>
      <c r="L23" s="16"/>
    </row>
    <row r="24" spans="1:12" ht="25" x14ac:dyDescent="0.35">
      <c r="A24" s="12" t="s">
        <v>95</v>
      </c>
      <c r="B24" s="13" t="s">
        <v>96</v>
      </c>
      <c r="C24" s="14" t="s">
        <v>97</v>
      </c>
      <c r="D24" s="13" t="s">
        <v>98</v>
      </c>
      <c r="E24" s="12"/>
      <c r="F24" s="12"/>
      <c r="G24" s="13" t="s">
        <v>93</v>
      </c>
      <c r="H24" s="13" t="s">
        <v>99</v>
      </c>
      <c r="I24" s="15"/>
      <c r="J24" s="16"/>
      <c r="K24" s="15"/>
      <c r="L24" s="16"/>
    </row>
    <row r="25" spans="1:12" x14ac:dyDescent="0.35">
      <c r="A25" s="12" t="s">
        <v>100</v>
      </c>
      <c r="B25" s="13" t="s">
        <v>101</v>
      </c>
      <c r="C25" s="14" t="s">
        <v>102</v>
      </c>
      <c r="D25" s="13" t="s">
        <v>103</v>
      </c>
      <c r="E25" s="12"/>
      <c r="F25" s="12">
        <v>16</v>
      </c>
      <c r="G25" s="13" t="s">
        <v>104</v>
      </c>
      <c r="H25" s="13" t="s">
        <v>105</v>
      </c>
      <c r="I25" s="15"/>
      <c r="J25" s="16"/>
      <c r="K25" s="15"/>
      <c r="L25" s="16"/>
    </row>
    <row r="26" spans="1:12" x14ac:dyDescent="0.35">
      <c r="A26" s="12" t="s">
        <v>106</v>
      </c>
      <c r="B26" s="13" t="s">
        <v>107</v>
      </c>
      <c r="C26" s="14" t="s">
        <v>108</v>
      </c>
      <c r="D26" s="13" t="s">
        <v>109</v>
      </c>
      <c r="E26" s="12"/>
      <c r="F26" s="12">
        <v>1</v>
      </c>
      <c r="G26" s="13" t="s">
        <v>104</v>
      </c>
      <c r="H26" s="13" t="s">
        <v>105</v>
      </c>
      <c r="I26" s="15"/>
      <c r="J26" s="16"/>
      <c r="K26" s="15"/>
      <c r="L26" s="16"/>
    </row>
    <row r="27" spans="1:12" x14ac:dyDescent="0.35">
      <c r="A27" s="12" t="s">
        <v>110</v>
      </c>
      <c r="B27" s="13" t="s">
        <v>111</v>
      </c>
      <c r="C27" s="14" t="s">
        <v>102</v>
      </c>
      <c r="D27" s="13" t="s">
        <v>112</v>
      </c>
      <c r="E27" s="12"/>
      <c r="F27" s="12">
        <v>7</v>
      </c>
      <c r="G27" s="13" t="s">
        <v>104</v>
      </c>
      <c r="H27" s="13" t="s">
        <v>105</v>
      </c>
      <c r="I27" s="15"/>
      <c r="J27" s="16"/>
      <c r="K27" s="15"/>
      <c r="L27" s="16"/>
    </row>
    <row r="28" spans="1:12" x14ac:dyDescent="0.35">
      <c r="A28" s="12" t="s">
        <v>113</v>
      </c>
      <c r="B28" s="13" t="s">
        <v>114</v>
      </c>
      <c r="C28" s="14" t="s">
        <v>115</v>
      </c>
      <c r="D28" s="13" t="s">
        <v>116</v>
      </c>
      <c r="E28" s="12"/>
      <c r="F28" s="12">
        <v>2</v>
      </c>
      <c r="G28" s="13" t="s">
        <v>104</v>
      </c>
      <c r="H28" s="13" t="s">
        <v>105</v>
      </c>
      <c r="I28" s="15"/>
      <c r="J28" s="16"/>
      <c r="K28" s="15"/>
      <c r="L28" s="16"/>
    </row>
    <row r="29" spans="1:12" ht="25" x14ac:dyDescent="0.35">
      <c r="A29" s="12" t="s">
        <v>117</v>
      </c>
      <c r="B29" s="13" t="s">
        <v>114</v>
      </c>
      <c r="C29" s="14" t="s">
        <v>118</v>
      </c>
      <c r="D29" s="13" t="s">
        <v>119</v>
      </c>
      <c r="E29" s="12"/>
      <c r="F29" s="12">
        <v>-3</v>
      </c>
      <c r="G29" s="13" t="s">
        <v>104</v>
      </c>
      <c r="H29" s="13" t="s">
        <v>120</v>
      </c>
      <c r="I29" s="15"/>
      <c r="J29" s="16"/>
      <c r="K29" s="15"/>
      <c r="L29" s="16"/>
    </row>
    <row r="30" spans="1:12" x14ac:dyDescent="0.35">
      <c r="A30" s="12" t="s">
        <v>121</v>
      </c>
      <c r="B30" s="13" t="s">
        <v>122</v>
      </c>
      <c r="C30" s="14" t="s">
        <v>123</v>
      </c>
      <c r="D30" s="13" t="s">
        <v>124</v>
      </c>
      <c r="E30" s="12"/>
      <c r="F30" s="12">
        <v>1</v>
      </c>
      <c r="G30" s="13" t="s">
        <v>104</v>
      </c>
      <c r="H30" s="13" t="s">
        <v>105</v>
      </c>
      <c r="I30" s="15"/>
      <c r="J30" s="16"/>
      <c r="K30" s="15"/>
      <c r="L30" s="16"/>
    </row>
    <row r="31" spans="1:12" x14ac:dyDescent="0.35">
      <c r="A31" s="12" t="s">
        <v>125</v>
      </c>
      <c r="B31" s="13" t="s">
        <v>122</v>
      </c>
      <c r="C31" s="14" t="s">
        <v>126</v>
      </c>
      <c r="D31" s="13" t="s">
        <v>127</v>
      </c>
      <c r="E31" s="12"/>
      <c r="F31" s="12">
        <v>16</v>
      </c>
      <c r="G31" s="13" t="s">
        <v>104</v>
      </c>
      <c r="H31" s="13" t="s">
        <v>105</v>
      </c>
      <c r="I31" s="15"/>
      <c r="J31" s="16"/>
      <c r="K31" s="15"/>
      <c r="L31" s="16"/>
    </row>
    <row r="32" spans="1:12" x14ac:dyDescent="0.35">
      <c r="A32" s="12" t="s">
        <v>128</v>
      </c>
      <c r="B32" s="13" t="s">
        <v>122</v>
      </c>
      <c r="C32" s="14" t="s">
        <v>129</v>
      </c>
      <c r="D32" s="13" t="s">
        <v>130</v>
      </c>
      <c r="E32" s="12"/>
      <c r="F32" s="12">
        <v>7</v>
      </c>
      <c r="G32" s="13" t="s">
        <v>104</v>
      </c>
      <c r="H32" s="13" t="s">
        <v>105</v>
      </c>
      <c r="I32" s="15"/>
      <c r="J32" s="16"/>
      <c r="K32" s="15"/>
      <c r="L32" s="16"/>
    </row>
    <row r="33" spans="1:12" x14ac:dyDescent="0.35">
      <c r="A33" s="12" t="s">
        <v>131</v>
      </c>
      <c r="B33" s="13" t="s">
        <v>122</v>
      </c>
      <c r="C33" s="14" t="s">
        <v>132</v>
      </c>
      <c r="D33" s="13" t="s">
        <v>133</v>
      </c>
      <c r="E33" s="12"/>
      <c r="F33" s="12">
        <v>16</v>
      </c>
      <c r="G33" s="13" t="s">
        <v>104</v>
      </c>
      <c r="H33" s="13" t="s">
        <v>105</v>
      </c>
      <c r="I33" s="15"/>
      <c r="J33" s="16"/>
      <c r="K33" s="15"/>
      <c r="L33" s="16"/>
    </row>
    <row r="34" spans="1:12" x14ac:dyDescent="0.35">
      <c r="A34" s="12" t="s">
        <v>134</v>
      </c>
      <c r="B34" s="13" t="s">
        <v>122</v>
      </c>
      <c r="C34" s="14" t="s">
        <v>135</v>
      </c>
      <c r="D34" s="13" t="s">
        <v>136</v>
      </c>
      <c r="E34" s="12"/>
      <c r="F34" s="12">
        <v>25</v>
      </c>
      <c r="G34" s="13" t="s">
        <v>104</v>
      </c>
      <c r="H34" s="13" t="s">
        <v>105</v>
      </c>
      <c r="I34" s="15"/>
      <c r="J34" s="16"/>
      <c r="K34" s="15"/>
      <c r="L34" s="16"/>
    </row>
    <row r="35" spans="1:12" x14ac:dyDescent="0.35">
      <c r="A35" s="12" t="s">
        <v>137</v>
      </c>
      <c r="B35" s="13" t="s">
        <v>122</v>
      </c>
      <c r="C35" s="14" t="s">
        <v>138</v>
      </c>
      <c r="D35" s="13" t="s">
        <v>139</v>
      </c>
      <c r="E35" s="12"/>
      <c r="F35" s="12">
        <v>31</v>
      </c>
      <c r="G35" s="13" t="s">
        <v>104</v>
      </c>
      <c r="H35" s="13" t="s">
        <v>105</v>
      </c>
      <c r="I35" s="15"/>
      <c r="J35" s="16"/>
      <c r="K35" s="15"/>
      <c r="L35" s="16"/>
    </row>
    <row r="36" spans="1:12" x14ac:dyDescent="0.35">
      <c r="A36" s="12" t="s">
        <v>140</v>
      </c>
      <c r="B36" s="13" t="s">
        <v>122</v>
      </c>
      <c r="C36" s="14" t="s">
        <v>141</v>
      </c>
      <c r="D36" s="13" t="s">
        <v>142</v>
      </c>
      <c r="E36" s="12"/>
      <c r="F36" s="12">
        <v>21</v>
      </c>
      <c r="G36" s="13" t="s">
        <v>104</v>
      </c>
      <c r="H36" s="13" t="s">
        <v>105</v>
      </c>
      <c r="I36" s="15"/>
      <c r="J36" s="16"/>
      <c r="K36" s="15"/>
      <c r="L36" s="16"/>
    </row>
    <row r="37" spans="1:12" x14ac:dyDescent="0.35">
      <c r="A37" s="12" t="s">
        <v>143</v>
      </c>
      <c r="B37" s="13" t="s">
        <v>122</v>
      </c>
      <c r="C37" s="14" t="s">
        <v>144</v>
      </c>
      <c r="D37" s="13" t="s">
        <v>145</v>
      </c>
      <c r="E37" s="12"/>
      <c r="F37" s="12">
        <v>20</v>
      </c>
      <c r="G37" s="13" t="s">
        <v>104</v>
      </c>
      <c r="H37" s="13" t="s">
        <v>105</v>
      </c>
      <c r="I37" s="15"/>
      <c r="J37" s="16"/>
      <c r="K37" s="15"/>
      <c r="L37" s="16"/>
    </row>
    <row r="38" spans="1:12" x14ac:dyDescent="0.35">
      <c r="A38" s="12" t="s">
        <v>146</v>
      </c>
      <c r="B38" s="13" t="s">
        <v>147</v>
      </c>
      <c r="C38" s="14" t="s">
        <v>148</v>
      </c>
      <c r="D38" s="13" t="s">
        <v>149</v>
      </c>
      <c r="E38" s="12"/>
      <c r="F38" s="12">
        <v>12</v>
      </c>
      <c r="G38" s="13" t="s">
        <v>104</v>
      </c>
      <c r="H38" s="13" t="s">
        <v>105</v>
      </c>
      <c r="I38" s="15"/>
      <c r="J38" s="16"/>
      <c r="K38" s="15"/>
      <c r="L38" s="16"/>
    </row>
    <row r="39" spans="1:12" x14ac:dyDescent="0.35">
      <c r="A39" s="12" t="s">
        <v>150</v>
      </c>
      <c r="B39" s="13" t="s">
        <v>147</v>
      </c>
      <c r="C39" s="14" t="s">
        <v>108</v>
      </c>
      <c r="D39" s="13" t="s">
        <v>151</v>
      </c>
      <c r="E39" s="12"/>
      <c r="F39" s="12">
        <v>3</v>
      </c>
      <c r="G39" s="13" t="s">
        <v>104</v>
      </c>
      <c r="H39" s="13" t="s">
        <v>105</v>
      </c>
      <c r="I39" s="15"/>
      <c r="J39" s="16"/>
      <c r="K39" s="15"/>
      <c r="L39" s="16"/>
    </row>
    <row r="40" spans="1:12" x14ac:dyDescent="0.35">
      <c r="A40" s="12" t="s">
        <v>152</v>
      </c>
      <c r="B40" s="13" t="s">
        <v>153</v>
      </c>
      <c r="C40" s="14" t="s">
        <v>115</v>
      </c>
      <c r="D40" s="13" t="s">
        <v>154</v>
      </c>
      <c r="E40" s="12"/>
      <c r="F40" s="12">
        <v>1</v>
      </c>
      <c r="G40" s="13" t="s">
        <v>104</v>
      </c>
      <c r="H40" s="13" t="s">
        <v>105</v>
      </c>
      <c r="I40" s="15"/>
      <c r="J40" s="16"/>
      <c r="K40" s="15"/>
      <c r="L40" s="16"/>
    </row>
    <row r="41" spans="1:12" x14ac:dyDescent="0.35">
      <c r="A41" s="12" t="s">
        <v>155</v>
      </c>
      <c r="B41" s="13" t="s">
        <v>156</v>
      </c>
      <c r="C41" s="14" t="s">
        <v>157</v>
      </c>
      <c r="D41" s="13" t="s">
        <v>158</v>
      </c>
      <c r="E41" s="12"/>
      <c r="F41" s="12">
        <v>86</v>
      </c>
      <c r="G41" s="13" t="s">
        <v>104</v>
      </c>
      <c r="H41" s="13" t="s">
        <v>105</v>
      </c>
      <c r="I41" s="15"/>
      <c r="J41" s="16"/>
      <c r="K41" s="15"/>
      <c r="L41" s="16"/>
    </row>
    <row r="42" spans="1:12" x14ac:dyDescent="0.35">
      <c r="A42" s="12" t="s">
        <v>159</v>
      </c>
      <c r="B42" s="13" t="s">
        <v>160</v>
      </c>
      <c r="C42" s="14" t="s">
        <v>135</v>
      </c>
      <c r="D42" s="13" t="s">
        <v>161</v>
      </c>
      <c r="E42" s="12"/>
      <c r="F42" s="12">
        <v>27</v>
      </c>
      <c r="G42" s="13" t="s">
        <v>104</v>
      </c>
      <c r="H42" s="13" t="s">
        <v>105</v>
      </c>
      <c r="I42" s="15"/>
      <c r="J42" s="16"/>
      <c r="K42" s="15"/>
      <c r="L42" s="16"/>
    </row>
    <row r="43" spans="1:12" x14ac:dyDescent="0.35">
      <c r="A43" s="12" t="s">
        <v>162</v>
      </c>
      <c r="B43" s="13" t="s">
        <v>160</v>
      </c>
      <c r="C43" s="14" t="s">
        <v>163</v>
      </c>
      <c r="D43" s="13" t="s">
        <v>164</v>
      </c>
      <c r="E43" s="12"/>
      <c r="F43" s="12">
        <v>15</v>
      </c>
      <c r="G43" s="13" t="s">
        <v>104</v>
      </c>
      <c r="H43" s="13" t="s">
        <v>105</v>
      </c>
      <c r="I43" s="15"/>
      <c r="J43" s="16"/>
      <c r="K43" s="15"/>
      <c r="L43" s="16"/>
    </row>
    <row r="44" spans="1:12" x14ac:dyDescent="0.35">
      <c r="A44" s="12" t="s">
        <v>165</v>
      </c>
      <c r="B44" s="13" t="s">
        <v>166</v>
      </c>
      <c r="C44" s="14" t="s">
        <v>85</v>
      </c>
      <c r="D44" s="13" t="s">
        <v>167</v>
      </c>
      <c r="E44" s="12">
        <v>3</v>
      </c>
      <c r="F44" s="12"/>
      <c r="G44" s="13" t="s">
        <v>168</v>
      </c>
      <c r="H44" s="13" t="s">
        <v>169</v>
      </c>
      <c r="I44" s="15"/>
      <c r="J44" s="16"/>
      <c r="K44" s="15"/>
      <c r="L44" s="16"/>
    </row>
    <row r="45" spans="1:12" x14ac:dyDescent="0.35">
      <c r="A45" s="12" t="s">
        <v>170</v>
      </c>
      <c r="B45" s="13" t="s">
        <v>166</v>
      </c>
      <c r="C45" s="14" t="s">
        <v>82</v>
      </c>
      <c r="D45" s="13" t="s">
        <v>167</v>
      </c>
      <c r="E45" s="12">
        <v>1</v>
      </c>
      <c r="F45" s="12"/>
      <c r="G45" s="13" t="s">
        <v>168</v>
      </c>
      <c r="H45" s="13" t="s">
        <v>169</v>
      </c>
      <c r="I45" s="15"/>
      <c r="J45" s="16"/>
      <c r="K45" s="15"/>
      <c r="L45" s="16"/>
    </row>
    <row r="46" spans="1:12" ht="25" x14ac:dyDescent="0.35">
      <c r="A46" s="12" t="s">
        <v>171</v>
      </c>
      <c r="B46" s="13" t="s">
        <v>172</v>
      </c>
      <c r="C46" s="14" t="s">
        <v>173</v>
      </c>
      <c r="D46" s="13" t="s">
        <v>174</v>
      </c>
      <c r="E46" s="12">
        <v>2</v>
      </c>
      <c r="F46" s="12"/>
      <c r="G46" s="13" t="s">
        <v>168</v>
      </c>
      <c r="H46" s="13" t="s">
        <v>175</v>
      </c>
      <c r="I46" s="15"/>
      <c r="J46" s="16"/>
      <c r="K46" s="15"/>
      <c r="L46" s="16"/>
    </row>
    <row r="47" spans="1:12" ht="25" x14ac:dyDescent="0.35">
      <c r="A47" s="12" t="s">
        <v>176</v>
      </c>
      <c r="B47" s="13" t="s">
        <v>172</v>
      </c>
      <c r="C47" s="14" t="s">
        <v>177</v>
      </c>
      <c r="D47" s="13" t="s">
        <v>178</v>
      </c>
      <c r="E47" s="12">
        <v>2</v>
      </c>
      <c r="F47" s="12"/>
      <c r="G47" s="13" t="s">
        <v>168</v>
      </c>
      <c r="H47" s="13" t="s">
        <v>175</v>
      </c>
      <c r="I47" s="15"/>
      <c r="J47" s="16"/>
      <c r="K47" s="15"/>
      <c r="L47" s="16"/>
    </row>
    <row r="48" spans="1:12" x14ac:dyDescent="0.35">
      <c r="A48" s="12" t="s">
        <v>179</v>
      </c>
      <c r="B48" s="13" t="s">
        <v>180</v>
      </c>
      <c r="C48" s="14" t="s">
        <v>181</v>
      </c>
      <c r="D48" s="13" t="s">
        <v>182</v>
      </c>
      <c r="E48" s="12">
        <v>12</v>
      </c>
      <c r="F48" s="12"/>
      <c r="G48" s="13" t="s">
        <v>168</v>
      </c>
      <c r="H48" s="13" t="s">
        <v>183</v>
      </c>
      <c r="I48" s="15"/>
      <c r="J48" s="16"/>
      <c r="K48" s="15"/>
      <c r="L48" s="16"/>
    </row>
    <row r="49" spans="1:12" x14ac:dyDescent="0.35">
      <c r="A49" s="12" t="s">
        <v>184</v>
      </c>
      <c r="B49" s="13" t="s">
        <v>61</v>
      </c>
      <c r="C49" s="14" t="s">
        <v>173</v>
      </c>
      <c r="D49" s="13" t="s">
        <v>185</v>
      </c>
      <c r="E49" s="12">
        <v>2</v>
      </c>
      <c r="F49" s="12"/>
      <c r="G49" s="13" t="s">
        <v>168</v>
      </c>
      <c r="H49" s="13" t="s">
        <v>186</v>
      </c>
      <c r="I49" s="15"/>
      <c r="J49" s="16"/>
      <c r="K49" s="15"/>
      <c r="L49" s="16"/>
    </row>
    <row r="50" spans="1:12" x14ac:dyDescent="0.35">
      <c r="A50" s="12" t="s">
        <v>187</v>
      </c>
      <c r="B50" s="13" t="s">
        <v>188</v>
      </c>
      <c r="C50" s="14" t="s">
        <v>79</v>
      </c>
      <c r="D50" s="13" t="s">
        <v>189</v>
      </c>
      <c r="E50" s="12">
        <v>7</v>
      </c>
      <c r="F50" s="12"/>
      <c r="G50" s="13" t="s">
        <v>168</v>
      </c>
      <c r="H50" s="13" t="s">
        <v>190</v>
      </c>
      <c r="I50" s="15"/>
      <c r="J50" s="16"/>
      <c r="K50" s="15"/>
      <c r="L50" s="16"/>
    </row>
    <row r="51" spans="1:12" x14ac:dyDescent="0.35">
      <c r="A51" s="12" t="s">
        <v>191</v>
      </c>
      <c r="B51" s="13" t="s">
        <v>188</v>
      </c>
      <c r="C51" s="14" t="s">
        <v>76</v>
      </c>
      <c r="D51" s="13" t="s">
        <v>189</v>
      </c>
      <c r="E51" s="12">
        <v>9</v>
      </c>
      <c r="F51" s="12"/>
      <c r="G51" s="13" t="s">
        <v>168</v>
      </c>
      <c r="H51" s="13" t="s">
        <v>190</v>
      </c>
      <c r="I51" s="15"/>
      <c r="J51" s="16"/>
      <c r="K51" s="15"/>
      <c r="L51" s="16"/>
    </row>
    <row r="52" spans="1:12" x14ac:dyDescent="0.35">
      <c r="A52" s="12" t="s">
        <v>192</v>
      </c>
      <c r="B52" s="13" t="s">
        <v>88</v>
      </c>
      <c r="C52" s="14" t="s">
        <v>79</v>
      </c>
      <c r="D52" s="13" t="s">
        <v>193</v>
      </c>
      <c r="E52" s="12">
        <v>1</v>
      </c>
      <c r="F52" s="12"/>
      <c r="G52" s="13" t="s">
        <v>168</v>
      </c>
      <c r="H52" s="13" t="s">
        <v>194</v>
      </c>
      <c r="I52" s="15"/>
      <c r="J52" s="16"/>
      <c r="K52" s="15"/>
      <c r="L52" s="16"/>
    </row>
    <row r="53" spans="1:12" x14ac:dyDescent="0.35">
      <c r="A53" s="12" t="s">
        <v>195</v>
      </c>
      <c r="B53" s="13" t="s">
        <v>88</v>
      </c>
      <c r="C53" s="14" t="s">
        <v>76</v>
      </c>
      <c r="D53" s="13" t="s">
        <v>196</v>
      </c>
      <c r="E53" s="12">
        <v>1</v>
      </c>
      <c r="F53" s="12"/>
      <c r="G53" s="13" t="s">
        <v>168</v>
      </c>
      <c r="H53" s="13" t="s">
        <v>194</v>
      </c>
      <c r="I53" s="15"/>
      <c r="J53" s="16"/>
      <c r="K53" s="15"/>
      <c r="L53" s="16"/>
    </row>
    <row r="54" spans="1:12" x14ac:dyDescent="0.35">
      <c r="A54" s="12" t="s">
        <v>197</v>
      </c>
      <c r="B54" s="13" t="s">
        <v>198</v>
      </c>
      <c r="C54" s="14" t="s">
        <v>199</v>
      </c>
      <c r="D54" s="13" t="s">
        <v>98</v>
      </c>
      <c r="E54" s="12">
        <v>17</v>
      </c>
      <c r="F54" s="12"/>
      <c r="G54" s="13" t="s">
        <v>200</v>
      </c>
      <c r="H54" s="13" t="s">
        <v>201</v>
      </c>
      <c r="I54" s="15"/>
      <c r="J54" s="16"/>
      <c r="K54" s="15"/>
      <c r="L54" s="16"/>
    </row>
    <row r="55" spans="1:12" x14ac:dyDescent="0.35">
      <c r="A55" s="12" t="s">
        <v>202</v>
      </c>
      <c r="B55" s="13" t="s">
        <v>198</v>
      </c>
      <c r="C55" s="14" t="s">
        <v>203</v>
      </c>
      <c r="D55" s="13" t="s">
        <v>98</v>
      </c>
      <c r="E55" s="12">
        <v>9</v>
      </c>
      <c r="F55" s="12"/>
      <c r="G55" s="13" t="s">
        <v>200</v>
      </c>
      <c r="H55" s="13" t="s">
        <v>201</v>
      </c>
      <c r="I55" s="15"/>
      <c r="J55" s="16"/>
      <c r="K55" s="15"/>
      <c r="L55" s="16"/>
    </row>
    <row r="56" spans="1:12" x14ac:dyDescent="0.35">
      <c r="A56" s="12" t="s">
        <v>204</v>
      </c>
      <c r="B56" s="13" t="s">
        <v>198</v>
      </c>
      <c r="C56" s="14" t="s">
        <v>57</v>
      </c>
      <c r="D56" s="13" t="s">
        <v>98</v>
      </c>
      <c r="E56" s="12">
        <v>6</v>
      </c>
      <c r="F56" s="12"/>
      <c r="G56" s="13" t="s">
        <v>200</v>
      </c>
      <c r="H56" s="13" t="s">
        <v>201</v>
      </c>
      <c r="I56" s="15"/>
      <c r="J56" s="16"/>
      <c r="K56" s="15"/>
      <c r="L56" s="16"/>
    </row>
    <row r="57" spans="1:12" x14ac:dyDescent="0.35">
      <c r="A57" s="12" t="s">
        <v>205</v>
      </c>
      <c r="B57" s="13" t="s">
        <v>206</v>
      </c>
      <c r="C57" s="14" t="s">
        <v>203</v>
      </c>
      <c r="D57" s="13" t="s">
        <v>98</v>
      </c>
      <c r="E57" s="12">
        <v>9</v>
      </c>
      <c r="F57" s="12"/>
      <c r="G57" s="13" t="s">
        <v>200</v>
      </c>
      <c r="H57" s="13" t="s">
        <v>201</v>
      </c>
      <c r="I57" s="15"/>
      <c r="J57" s="16"/>
      <c r="K57" s="15"/>
      <c r="L57" s="16"/>
    </row>
    <row r="58" spans="1:12" x14ac:dyDescent="0.35">
      <c r="A58" s="12" t="s">
        <v>207</v>
      </c>
      <c r="B58" s="13" t="s">
        <v>206</v>
      </c>
      <c r="C58" s="14" t="s">
        <v>57</v>
      </c>
      <c r="D58" s="13" t="s">
        <v>98</v>
      </c>
      <c r="E58" s="12">
        <v>13</v>
      </c>
      <c r="F58" s="12"/>
      <c r="G58" s="13" t="s">
        <v>200</v>
      </c>
      <c r="H58" s="13" t="s">
        <v>201</v>
      </c>
      <c r="I58" s="15"/>
      <c r="J58" s="16"/>
      <c r="K58" s="15"/>
      <c r="L58" s="16"/>
    </row>
    <row r="59" spans="1:12" ht="25" x14ac:dyDescent="0.35">
      <c r="A59" s="12" t="s">
        <v>208</v>
      </c>
      <c r="B59" s="13" t="s">
        <v>206</v>
      </c>
      <c r="C59" s="14" t="s">
        <v>209</v>
      </c>
      <c r="D59" s="13" t="s">
        <v>98</v>
      </c>
      <c r="E59" s="12">
        <v>1</v>
      </c>
      <c r="F59" s="12"/>
      <c r="G59" s="13" t="s">
        <v>200</v>
      </c>
      <c r="H59" s="13" t="s">
        <v>201</v>
      </c>
      <c r="I59" s="15"/>
      <c r="J59" s="16"/>
      <c r="K59" s="15"/>
      <c r="L59" s="16"/>
    </row>
    <row r="60" spans="1:12" x14ac:dyDescent="0.35">
      <c r="A60" s="12" t="s">
        <v>210</v>
      </c>
      <c r="B60" s="13" t="s">
        <v>96</v>
      </c>
      <c r="C60" s="14" t="s">
        <v>211</v>
      </c>
      <c r="D60" s="13" t="s">
        <v>98</v>
      </c>
      <c r="E60" s="12">
        <v>7</v>
      </c>
      <c r="F60" s="12"/>
      <c r="G60" s="13" t="s">
        <v>200</v>
      </c>
      <c r="H60" s="13" t="s">
        <v>201</v>
      </c>
      <c r="I60" s="15"/>
      <c r="J60" s="16"/>
      <c r="K60" s="15"/>
      <c r="L60" s="16"/>
    </row>
    <row r="61" spans="1:12" x14ac:dyDescent="0.35">
      <c r="A61" s="12" t="s">
        <v>212</v>
      </c>
      <c r="B61" s="13" t="s">
        <v>96</v>
      </c>
      <c r="C61" s="14" t="s">
        <v>213</v>
      </c>
      <c r="D61" s="13" t="s">
        <v>98</v>
      </c>
      <c r="E61" s="12">
        <v>3</v>
      </c>
      <c r="F61" s="12"/>
      <c r="G61" s="13" t="s">
        <v>200</v>
      </c>
      <c r="H61" s="13" t="s">
        <v>201</v>
      </c>
      <c r="I61" s="15"/>
      <c r="J61" s="16"/>
      <c r="K61" s="15"/>
      <c r="L61" s="16"/>
    </row>
    <row r="62" spans="1:12" ht="25" x14ac:dyDescent="0.35">
      <c r="A62" s="12" t="s">
        <v>214</v>
      </c>
      <c r="B62" s="13" t="s">
        <v>96</v>
      </c>
      <c r="C62" s="14" t="s">
        <v>215</v>
      </c>
      <c r="D62" s="13" t="s">
        <v>98</v>
      </c>
      <c r="E62" s="12">
        <v>1</v>
      </c>
      <c r="F62" s="12"/>
      <c r="G62" s="13" t="s">
        <v>200</v>
      </c>
      <c r="H62" s="13" t="s">
        <v>201</v>
      </c>
      <c r="I62" s="15"/>
      <c r="J62" s="16"/>
      <c r="K62" s="15"/>
      <c r="L62" s="16"/>
    </row>
    <row r="63" spans="1:12" ht="25" x14ac:dyDescent="0.35">
      <c r="A63" s="12" t="s">
        <v>216</v>
      </c>
      <c r="B63" s="13" t="s">
        <v>96</v>
      </c>
      <c r="C63" s="14" t="s">
        <v>217</v>
      </c>
      <c r="D63" s="13" t="s">
        <v>98</v>
      </c>
      <c r="E63" s="12">
        <v>1</v>
      </c>
      <c r="F63" s="12"/>
      <c r="G63" s="13" t="s">
        <v>200</v>
      </c>
      <c r="H63" s="13" t="s">
        <v>201</v>
      </c>
      <c r="I63" s="15"/>
      <c r="J63" s="16"/>
      <c r="K63" s="15"/>
      <c r="L63" s="16"/>
    </row>
    <row r="64" spans="1:12" x14ac:dyDescent="0.35">
      <c r="A64" s="12" t="s">
        <v>218</v>
      </c>
      <c r="B64" s="13" t="s">
        <v>219</v>
      </c>
      <c r="C64" s="14" t="s">
        <v>213</v>
      </c>
      <c r="D64" s="13" t="s">
        <v>98</v>
      </c>
      <c r="E64" s="12">
        <v>7</v>
      </c>
      <c r="F64" s="12"/>
      <c r="G64" s="13" t="s">
        <v>200</v>
      </c>
      <c r="H64" s="13" t="s">
        <v>201</v>
      </c>
      <c r="I64" s="15"/>
      <c r="J64" s="16"/>
      <c r="K64" s="15"/>
      <c r="L64" s="16"/>
    </row>
    <row r="65" spans="1:12" x14ac:dyDescent="0.35">
      <c r="A65" s="12" t="s">
        <v>220</v>
      </c>
      <c r="B65" s="13" t="s">
        <v>219</v>
      </c>
      <c r="C65" s="14" t="s">
        <v>199</v>
      </c>
      <c r="D65" s="13" t="s">
        <v>98</v>
      </c>
      <c r="E65" s="12">
        <v>1</v>
      </c>
      <c r="F65" s="12"/>
      <c r="G65" s="13" t="s">
        <v>200</v>
      </c>
      <c r="H65" s="13" t="s">
        <v>201</v>
      </c>
      <c r="I65" s="15"/>
      <c r="J65" s="16"/>
      <c r="K65" s="15"/>
      <c r="L65" s="16"/>
    </row>
    <row r="66" spans="1:12" x14ac:dyDescent="0.35">
      <c r="A66" s="12" t="s">
        <v>221</v>
      </c>
      <c r="B66" s="13" t="s">
        <v>219</v>
      </c>
      <c r="C66" s="14" t="s">
        <v>57</v>
      </c>
      <c r="D66" s="13" t="s">
        <v>98</v>
      </c>
      <c r="E66" s="12">
        <v>5</v>
      </c>
      <c r="F66" s="12"/>
      <c r="G66" s="13" t="s">
        <v>200</v>
      </c>
      <c r="H66" s="13" t="s">
        <v>201</v>
      </c>
      <c r="I66" s="15"/>
      <c r="J66" s="16"/>
      <c r="K66" s="15"/>
      <c r="L66" s="16"/>
    </row>
    <row r="67" spans="1:12" x14ac:dyDescent="0.35">
      <c r="A67" s="12" t="s">
        <v>222</v>
      </c>
      <c r="B67" s="13" t="s">
        <v>223</v>
      </c>
      <c r="C67" s="14" t="s">
        <v>102</v>
      </c>
      <c r="D67" s="13" t="s">
        <v>224</v>
      </c>
      <c r="E67" s="12"/>
      <c r="F67" s="12">
        <v>-1</v>
      </c>
      <c r="G67" s="13" t="s">
        <v>225</v>
      </c>
      <c r="H67" s="13" t="s">
        <v>226</v>
      </c>
      <c r="I67" s="15"/>
      <c r="J67" s="16"/>
      <c r="K67" s="15"/>
      <c r="L67" s="16"/>
    </row>
    <row r="68" spans="1:12" x14ac:dyDescent="0.35">
      <c r="A68" s="12" t="s">
        <v>227</v>
      </c>
      <c r="B68" s="13" t="s">
        <v>228</v>
      </c>
      <c r="C68" s="14" t="s">
        <v>102</v>
      </c>
      <c r="D68" s="13" t="s">
        <v>229</v>
      </c>
      <c r="E68" s="12"/>
      <c r="F68" s="12">
        <v>-24</v>
      </c>
      <c r="G68" s="13" t="s">
        <v>225</v>
      </c>
      <c r="H68" s="13" t="s">
        <v>230</v>
      </c>
      <c r="I68" s="15"/>
      <c r="J68" s="16"/>
      <c r="K68" s="15"/>
      <c r="L68" s="16"/>
    </row>
    <row r="69" spans="1:12" x14ac:dyDescent="0.35">
      <c r="A69" s="12" t="s">
        <v>231</v>
      </c>
      <c r="B69" s="13" t="s">
        <v>232</v>
      </c>
      <c r="C69" s="14" t="s">
        <v>102</v>
      </c>
      <c r="D69" s="13" t="s">
        <v>233</v>
      </c>
      <c r="E69" s="12"/>
      <c r="F69" s="12">
        <v>-11</v>
      </c>
      <c r="G69" s="13" t="s">
        <v>225</v>
      </c>
      <c r="H69" s="13" t="s">
        <v>230</v>
      </c>
      <c r="I69" s="15"/>
      <c r="J69" s="16"/>
      <c r="K69" s="15"/>
      <c r="L69" s="16"/>
    </row>
  </sheetData>
  <autoFilter ref="A7:L69" xr:uid="{00000000-0009-0000-0000-000001000000}"/>
  <conditionalFormatting sqref="A8:A69">
    <cfRule type="expression" dxfId="3" priority="3">
      <formula>AND(ISNUMBER($I8),$J8&lt;&gt;"")</formula>
    </cfRule>
  </conditionalFormatting>
  <conditionalFormatting sqref="J8:J69">
    <cfRule type="expression" dxfId="2" priority="2">
      <formula>AND(ISNUMBER($I8),$J8="")</formula>
    </cfRule>
  </conditionalFormatting>
  <dataValidations count="1">
    <dataValidation type="whole" allowBlank="1" errorTitle="Whole number" error="Enter a whole number, 0 or more" sqref="I8:I69" xr:uid="{00000000-0002-0000-0100-000002000000}">
      <formula1>0</formula1>
      <formula2>9999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Lists!$A$2:$A$12</xm:f>
          </x14:formula1>
          <x14:formula2>
            <xm:f>0</xm:f>
          </x14:formula2>
          <xm:sqref>J8:J69</xm:sqref>
        </x14:dataValidation>
        <x14:dataValidation type="list" allowBlank="1" xr:uid="{00000000-0002-0000-0100-000001000000}">
          <x14:formula1>
            <xm:f>Lists!$B$2:$B$3</xm:f>
          </x14:formula1>
          <x14:formula2>
            <xm:f>0</xm:f>
          </x14:formula2>
          <xm:sqref>K8:K69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11" sqref="I11"/>
    </sheetView>
  </sheetViews>
  <sheetFormatPr defaultColWidth="8.6328125" defaultRowHeight="14.5" x14ac:dyDescent="0.35"/>
  <cols>
    <col min="1" max="1" width="8" customWidth="1"/>
    <col min="2" max="2" width="34" customWidth="1"/>
    <col min="3" max="3" width="16" customWidth="1"/>
    <col min="4" max="4" width="30" customWidth="1"/>
    <col min="5" max="5" width="10" customWidth="1"/>
    <col min="6" max="6" width="11" customWidth="1"/>
    <col min="7" max="7" width="26" customWidth="1"/>
    <col min="8" max="8" width="52" customWidth="1"/>
    <col min="9" max="9" width="12" customWidth="1"/>
    <col min="10" max="10" width="34" customWidth="1"/>
    <col min="11" max="11" width="16" customWidth="1"/>
    <col min="12" max="12" width="36" customWidth="1"/>
  </cols>
  <sheetData>
    <row r="1" spans="1:12" ht="16.5" x14ac:dyDescent="0.35">
      <c r="A1" s="4" t="s">
        <v>234</v>
      </c>
    </row>
    <row r="2" spans="1:12" x14ac:dyDescent="0.35">
      <c r="A2" s="5" t="s">
        <v>18</v>
      </c>
      <c r="B2" s="6"/>
      <c r="D2" s="5" t="s">
        <v>19</v>
      </c>
      <c r="E2" s="7">
        <f>COUNTA(A8:A86)</f>
        <v>79</v>
      </c>
    </row>
    <row r="3" spans="1:12" x14ac:dyDescent="0.35">
      <c r="A3" s="5" t="s">
        <v>20</v>
      </c>
      <c r="B3" s="8"/>
      <c r="D3" s="5" t="s">
        <v>21</v>
      </c>
      <c r="E3" s="7">
        <f>COUNT(I8:I86)</f>
        <v>2</v>
      </c>
    </row>
    <row r="4" spans="1:12" x14ac:dyDescent="0.35">
      <c r="A4" s="9" t="s">
        <v>22</v>
      </c>
    </row>
    <row r="7" spans="1:12" ht="36" customHeight="1" x14ac:dyDescent="0.35">
      <c r="A7" s="10" t="s">
        <v>23</v>
      </c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30</v>
      </c>
      <c r="I7" s="11" t="s">
        <v>31</v>
      </c>
      <c r="J7" s="11" t="s">
        <v>32</v>
      </c>
      <c r="K7" s="11" t="s">
        <v>33</v>
      </c>
      <c r="L7" s="11" t="s">
        <v>34</v>
      </c>
    </row>
    <row r="8" spans="1:12" ht="25" x14ac:dyDescent="0.35">
      <c r="A8" s="12" t="s">
        <v>235</v>
      </c>
      <c r="B8" s="13" t="s">
        <v>236</v>
      </c>
      <c r="C8" s="14" t="s">
        <v>237</v>
      </c>
      <c r="D8" s="13" t="s">
        <v>238</v>
      </c>
      <c r="E8" s="12">
        <v>2</v>
      </c>
      <c r="F8" s="12">
        <v>1</v>
      </c>
      <c r="G8" s="13" t="s">
        <v>39</v>
      </c>
      <c r="H8" s="13" t="s">
        <v>239</v>
      </c>
      <c r="I8" s="15">
        <v>0</v>
      </c>
      <c r="J8" s="16"/>
      <c r="K8" s="15"/>
      <c r="L8" s="16"/>
    </row>
    <row r="9" spans="1:12" x14ac:dyDescent="0.35">
      <c r="A9" s="12" t="s">
        <v>240</v>
      </c>
      <c r="B9" s="13" t="s">
        <v>236</v>
      </c>
      <c r="C9" s="14" t="s">
        <v>241</v>
      </c>
      <c r="D9" s="13" t="s">
        <v>119</v>
      </c>
      <c r="E9" s="12">
        <v>6</v>
      </c>
      <c r="F9" s="12">
        <v>5</v>
      </c>
      <c r="G9" s="13" t="s">
        <v>39</v>
      </c>
      <c r="H9" s="13"/>
      <c r="I9" s="15">
        <v>6</v>
      </c>
      <c r="J9" s="16"/>
      <c r="K9" s="15"/>
      <c r="L9" s="16"/>
    </row>
    <row r="10" spans="1:12" ht="25" x14ac:dyDescent="0.35">
      <c r="A10" s="12" t="s">
        <v>242</v>
      </c>
      <c r="B10" s="13" t="s">
        <v>72</v>
      </c>
      <c r="C10" s="14" t="s">
        <v>82</v>
      </c>
      <c r="D10" s="13" t="s">
        <v>83</v>
      </c>
      <c r="E10" s="12">
        <v>4</v>
      </c>
      <c r="F10" s="12">
        <v>2</v>
      </c>
      <c r="G10" s="13" t="s">
        <v>39</v>
      </c>
      <c r="H10" s="13" t="s">
        <v>243</v>
      </c>
      <c r="I10" s="15"/>
      <c r="J10" s="16"/>
      <c r="K10" s="15"/>
      <c r="L10" s="16"/>
    </row>
    <row r="11" spans="1:12" x14ac:dyDescent="0.35">
      <c r="A11" s="12" t="s">
        <v>244</v>
      </c>
      <c r="B11" s="13" t="s">
        <v>245</v>
      </c>
      <c r="C11" s="14" t="s">
        <v>82</v>
      </c>
      <c r="D11" s="13" t="s">
        <v>98</v>
      </c>
      <c r="E11" s="12"/>
      <c r="F11" s="12"/>
      <c r="G11" s="13" t="s">
        <v>93</v>
      </c>
      <c r="H11" s="13" t="s">
        <v>246</v>
      </c>
      <c r="I11" s="15"/>
      <c r="J11" s="16"/>
      <c r="K11" s="15"/>
      <c r="L11" s="16"/>
    </row>
    <row r="12" spans="1:12" x14ac:dyDescent="0.35">
      <c r="A12" s="12" t="s">
        <v>247</v>
      </c>
      <c r="B12" s="13" t="s">
        <v>245</v>
      </c>
      <c r="C12" s="14" t="s">
        <v>76</v>
      </c>
      <c r="D12" s="13" t="s">
        <v>98</v>
      </c>
      <c r="E12" s="12"/>
      <c r="F12" s="12"/>
      <c r="G12" s="13" t="s">
        <v>93</v>
      </c>
      <c r="H12" s="13" t="s">
        <v>246</v>
      </c>
      <c r="I12" s="15"/>
      <c r="J12" s="16"/>
      <c r="K12" s="15"/>
      <c r="L12" s="16"/>
    </row>
    <row r="13" spans="1:12" ht="25" x14ac:dyDescent="0.35">
      <c r="A13" s="12" t="s">
        <v>248</v>
      </c>
      <c r="B13" s="13" t="s">
        <v>88</v>
      </c>
      <c r="C13" s="14" t="s">
        <v>76</v>
      </c>
      <c r="D13" s="13" t="s">
        <v>98</v>
      </c>
      <c r="E13" s="12"/>
      <c r="F13" s="12"/>
      <c r="G13" s="13" t="s">
        <v>93</v>
      </c>
      <c r="H13" s="13" t="s">
        <v>249</v>
      </c>
      <c r="I13" s="15"/>
      <c r="J13" s="16"/>
      <c r="K13" s="15"/>
      <c r="L13" s="16"/>
    </row>
    <row r="14" spans="1:12" x14ac:dyDescent="0.35">
      <c r="A14" s="12" t="s">
        <v>250</v>
      </c>
      <c r="B14" s="13" t="s">
        <v>251</v>
      </c>
      <c r="C14" s="14" t="s">
        <v>82</v>
      </c>
      <c r="D14" s="13" t="s">
        <v>98</v>
      </c>
      <c r="E14" s="12"/>
      <c r="F14" s="12"/>
      <c r="G14" s="13" t="s">
        <v>93</v>
      </c>
      <c r="H14" s="13" t="s">
        <v>246</v>
      </c>
      <c r="I14" s="15"/>
      <c r="J14" s="16"/>
      <c r="K14" s="15"/>
      <c r="L14" s="16"/>
    </row>
    <row r="15" spans="1:12" ht="25" x14ac:dyDescent="0.35">
      <c r="A15" s="12" t="s">
        <v>252</v>
      </c>
      <c r="B15" s="13" t="s">
        <v>219</v>
      </c>
      <c r="C15" s="14" t="s">
        <v>213</v>
      </c>
      <c r="D15" s="13" t="s">
        <v>98</v>
      </c>
      <c r="E15" s="12"/>
      <c r="F15" s="12"/>
      <c r="G15" s="13" t="s">
        <v>93</v>
      </c>
      <c r="H15" s="13" t="s">
        <v>253</v>
      </c>
      <c r="I15" s="15"/>
      <c r="J15" s="16"/>
      <c r="K15" s="15"/>
      <c r="L15" s="16"/>
    </row>
    <row r="16" spans="1:12" ht="25" x14ac:dyDescent="0.35">
      <c r="A16" s="12" t="s">
        <v>254</v>
      </c>
      <c r="B16" s="13" t="s">
        <v>96</v>
      </c>
      <c r="C16" s="14" t="s">
        <v>57</v>
      </c>
      <c r="D16" s="13" t="s">
        <v>98</v>
      </c>
      <c r="E16" s="12"/>
      <c r="F16" s="12"/>
      <c r="G16" s="13" t="s">
        <v>93</v>
      </c>
      <c r="H16" s="13" t="s">
        <v>253</v>
      </c>
      <c r="I16" s="15"/>
      <c r="J16" s="16"/>
      <c r="K16" s="15"/>
      <c r="L16" s="16"/>
    </row>
    <row r="17" spans="1:12" ht="25" x14ac:dyDescent="0.35">
      <c r="A17" s="12" t="s">
        <v>255</v>
      </c>
      <c r="B17" s="13" t="s">
        <v>256</v>
      </c>
      <c r="C17" s="14" t="s">
        <v>257</v>
      </c>
      <c r="D17" s="13" t="s">
        <v>98</v>
      </c>
      <c r="E17" s="12">
        <v>6</v>
      </c>
      <c r="F17" s="12"/>
      <c r="G17" s="13" t="s">
        <v>168</v>
      </c>
      <c r="H17" s="13" t="s">
        <v>258</v>
      </c>
      <c r="I17" s="15"/>
      <c r="J17" s="16"/>
      <c r="K17" s="15"/>
      <c r="L17" s="16"/>
    </row>
    <row r="18" spans="1:12" ht="25" x14ac:dyDescent="0.35">
      <c r="A18" s="12" t="s">
        <v>259</v>
      </c>
      <c r="B18" s="13" t="s">
        <v>260</v>
      </c>
      <c r="C18" s="14" t="s">
        <v>257</v>
      </c>
      <c r="D18" s="13" t="s">
        <v>98</v>
      </c>
      <c r="E18" s="12">
        <v>6</v>
      </c>
      <c r="F18" s="12"/>
      <c r="G18" s="13" t="s">
        <v>168</v>
      </c>
      <c r="H18" s="13" t="s">
        <v>258</v>
      </c>
      <c r="I18" s="15"/>
      <c r="J18" s="16"/>
      <c r="K18" s="15"/>
      <c r="L18" s="16"/>
    </row>
    <row r="19" spans="1:12" x14ac:dyDescent="0.35">
      <c r="A19" s="12" t="s">
        <v>261</v>
      </c>
      <c r="B19" s="13" t="s">
        <v>262</v>
      </c>
      <c r="C19" s="14" t="s">
        <v>263</v>
      </c>
      <c r="D19" s="13" t="s">
        <v>98</v>
      </c>
      <c r="E19" s="12">
        <v>1</v>
      </c>
      <c r="F19" s="12"/>
      <c r="G19" s="13" t="s">
        <v>168</v>
      </c>
      <c r="H19" s="13"/>
      <c r="I19" s="15"/>
      <c r="J19" s="16"/>
      <c r="K19" s="15"/>
      <c r="L19" s="16"/>
    </row>
    <row r="20" spans="1:12" x14ac:dyDescent="0.35">
      <c r="A20" s="12" t="s">
        <v>264</v>
      </c>
      <c r="B20" s="13" t="s">
        <v>262</v>
      </c>
      <c r="C20" s="14" t="s">
        <v>265</v>
      </c>
      <c r="D20" s="13" t="s">
        <v>98</v>
      </c>
      <c r="E20" s="12">
        <v>2</v>
      </c>
      <c r="F20" s="12"/>
      <c r="G20" s="13" t="s">
        <v>168</v>
      </c>
      <c r="H20" s="13"/>
      <c r="I20" s="15"/>
      <c r="J20" s="16"/>
      <c r="K20" s="15"/>
      <c r="L20" s="16"/>
    </row>
    <row r="21" spans="1:12" x14ac:dyDescent="0.35">
      <c r="A21" s="12" t="s">
        <v>266</v>
      </c>
      <c r="B21" s="13" t="s">
        <v>262</v>
      </c>
      <c r="C21" s="14" t="s">
        <v>237</v>
      </c>
      <c r="D21" s="13" t="s">
        <v>98</v>
      </c>
      <c r="E21" s="12">
        <v>1</v>
      </c>
      <c r="F21" s="12"/>
      <c r="G21" s="13" t="s">
        <v>168</v>
      </c>
      <c r="H21" s="13"/>
      <c r="I21" s="15"/>
      <c r="J21" s="16"/>
      <c r="K21" s="15"/>
      <c r="L21" s="16"/>
    </row>
    <row r="22" spans="1:12" x14ac:dyDescent="0.35">
      <c r="A22" s="12" t="s">
        <v>267</v>
      </c>
      <c r="B22" s="13" t="s">
        <v>262</v>
      </c>
      <c r="C22" s="14" t="s">
        <v>268</v>
      </c>
      <c r="D22" s="13" t="s">
        <v>98</v>
      </c>
      <c r="E22" s="12">
        <v>2</v>
      </c>
      <c r="F22" s="12"/>
      <c r="G22" s="13" t="s">
        <v>168</v>
      </c>
      <c r="H22" s="13"/>
      <c r="I22" s="15"/>
      <c r="J22" s="16"/>
      <c r="K22" s="15"/>
      <c r="L22" s="16"/>
    </row>
    <row r="23" spans="1:12" ht="25" x14ac:dyDescent="0.35">
      <c r="A23" s="12" t="s">
        <v>269</v>
      </c>
      <c r="B23" s="13" t="s">
        <v>166</v>
      </c>
      <c r="C23" s="14" t="s">
        <v>82</v>
      </c>
      <c r="D23" s="13" t="s">
        <v>98</v>
      </c>
      <c r="E23" s="12">
        <v>1</v>
      </c>
      <c r="F23" s="12"/>
      <c r="G23" s="13" t="s">
        <v>168</v>
      </c>
      <c r="H23" s="13" t="s">
        <v>270</v>
      </c>
      <c r="I23" s="15"/>
      <c r="J23" s="16"/>
      <c r="K23" s="15"/>
      <c r="L23" s="16"/>
    </row>
    <row r="24" spans="1:12" x14ac:dyDescent="0.35">
      <c r="A24" s="12" t="s">
        <v>271</v>
      </c>
      <c r="B24" s="13" t="s">
        <v>272</v>
      </c>
      <c r="C24" s="14" t="s">
        <v>82</v>
      </c>
      <c r="D24" s="13" t="s">
        <v>98</v>
      </c>
      <c r="E24" s="12">
        <v>2</v>
      </c>
      <c r="F24" s="12"/>
      <c r="G24" s="13" t="s">
        <v>168</v>
      </c>
      <c r="H24" s="13"/>
      <c r="I24" s="15"/>
      <c r="J24" s="16"/>
      <c r="K24" s="15"/>
      <c r="L24" s="16"/>
    </row>
    <row r="25" spans="1:12" x14ac:dyDescent="0.35">
      <c r="A25" s="12" t="s">
        <v>273</v>
      </c>
      <c r="B25" s="13" t="s">
        <v>272</v>
      </c>
      <c r="C25" s="14" t="s">
        <v>79</v>
      </c>
      <c r="D25" s="13" t="s">
        <v>98</v>
      </c>
      <c r="E25" s="12">
        <v>2</v>
      </c>
      <c r="F25" s="12"/>
      <c r="G25" s="13" t="s">
        <v>168</v>
      </c>
      <c r="H25" s="13"/>
      <c r="I25" s="15"/>
      <c r="J25" s="16"/>
      <c r="K25" s="15"/>
      <c r="L25" s="16"/>
    </row>
    <row r="26" spans="1:12" ht="25" x14ac:dyDescent="0.35">
      <c r="A26" s="12" t="s">
        <v>274</v>
      </c>
      <c r="B26" s="13" t="s">
        <v>275</v>
      </c>
      <c r="C26" s="14" t="s">
        <v>79</v>
      </c>
      <c r="D26" s="13" t="s">
        <v>98</v>
      </c>
      <c r="E26" s="12">
        <v>1</v>
      </c>
      <c r="F26" s="12"/>
      <c r="G26" s="13" t="s">
        <v>168</v>
      </c>
      <c r="H26" s="13" t="s">
        <v>276</v>
      </c>
      <c r="I26" s="15"/>
      <c r="J26" s="16"/>
      <c r="K26" s="15"/>
      <c r="L26" s="16"/>
    </row>
    <row r="27" spans="1:12" x14ac:dyDescent="0.35">
      <c r="A27" s="12" t="s">
        <v>277</v>
      </c>
      <c r="B27" s="13" t="s">
        <v>278</v>
      </c>
      <c r="C27" s="14" t="s">
        <v>257</v>
      </c>
      <c r="D27" s="13" t="s">
        <v>98</v>
      </c>
      <c r="E27" s="12">
        <v>1</v>
      </c>
      <c r="F27" s="12"/>
      <c r="G27" s="13" t="s">
        <v>168</v>
      </c>
      <c r="H27" s="13"/>
      <c r="I27" s="15"/>
      <c r="J27" s="16"/>
      <c r="K27" s="15"/>
      <c r="L27" s="16"/>
    </row>
    <row r="28" spans="1:12" x14ac:dyDescent="0.35">
      <c r="A28" s="12" t="s">
        <v>279</v>
      </c>
      <c r="B28" s="13" t="s">
        <v>280</v>
      </c>
      <c r="C28" s="14" t="s">
        <v>257</v>
      </c>
      <c r="D28" s="13" t="s">
        <v>98</v>
      </c>
      <c r="E28" s="12">
        <v>1</v>
      </c>
      <c r="F28" s="12"/>
      <c r="G28" s="13" t="s">
        <v>168</v>
      </c>
      <c r="H28" s="13"/>
      <c r="I28" s="15"/>
      <c r="J28" s="16"/>
      <c r="K28" s="15"/>
      <c r="L28" s="16"/>
    </row>
    <row r="29" spans="1:12" x14ac:dyDescent="0.35">
      <c r="A29" s="12" t="s">
        <v>281</v>
      </c>
      <c r="B29" s="13" t="s">
        <v>282</v>
      </c>
      <c r="C29" s="14" t="s">
        <v>45</v>
      </c>
      <c r="D29" s="13" t="s">
        <v>98</v>
      </c>
      <c r="E29" s="12">
        <v>3</v>
      </c>
      <c r="F29" s="12"/>
      <c r="G29" s="13" t="s">
        <v>168</v>
      </c>
      <c r="H29" s="13"/>
      <c r="I29" s="15"/>
      <c r="J29" s="16"/>
      <c r="K29" s="15"/>
      <c r="L29" s="16"/>
    </row>
    <row r="30" spans="1:12" x14ac:dyDescent="0.35">
      <c r="A30" s="12" t="s">
        <v>283</v>
      </c>
      <c r="B30" s="13" t="s">
        <v>282</v>
      </c>
      <c r="C30" s="14" t="s">
        <v>42</v>
      </c>
      <c r="D30" s="13" t="s">
        <v>98</v>
      </c>
      <c r="E30" s="12">
        <v>1</v>
      </c>
      <c r="F30" s="12"/>
      <c r="G30" s="13" t="s">
        <v>168</v>
      </c>
      <c r="H30" s="13"/>
      <c r="I30" s="15"/>
      <c r="J30" s="16"/>
      <c r="K30" s="15"/>
      <c r="L30" s="16"/>
    </row>
    <row r="31" spans="1:12" x14ac:dyDescent="0.35">
      <c r="A31" s="12" t="s">
        <v>284</v>
      </c>
      <c r="B31" s="13" t="s">
        <v>285</v>
      </c>
      <c r="C31" s="14" t="s">
        <v>82</v>
      </c>
      <c r="D31" s="13" t="s">
        <v>98</v>
      </c>
      <c r="E31" s="12">
        <v>3</v>
      </c>
      <c r="F31" s="12"/>
      <c r="G31" s="13" t="s">
        <v>168</v>
      </c>
      <c r="H31" s="13"/>
      <c r="I31" s="15"/>
      <c r="J31" s="16"/>
      <c r="K31" s="15"/>
      <c r="L31" s="16"/>
    </row>
    <row r="32" spans="1:12" x14ac:dyDescent="0.35">
      <c r="A32" s="12" t="s">
        <v>286</v>
      </c>
      <c r="B32" s="13" t="s">
        <v>245</v>
      </c>
      <c r="C32" s="14" t="s">
        <v>79</v>
      </c>
      <c r="D32" s="13" t="s">
        <v>98</v>
      </c>
      <c r="E32" s="12">
        <v>23</v>
      </c>
      <c r="F32" s="12"/>
      <c r="G32" s="13" t="s">
        <v>168</v>
      </c>
      <c r="H32" s="13"/>
      <c r="I32" s="15"/>
      <c r="J32" s="16"/>
      <c r="K32" s="15"/>
      <c r="L32" s="16"/>
    </row>
    <row r="33" spans="1:12" x14ac:dyDescent="0.35">
      <c r="A33" s="12" t="s">
        <v>287</v>
      </c>
      <c r="B33" s="13" t="s">
        <v>288</v>
      </c>
      <c r="C33" s="14" t="s">
        <v>82</v>
      </c>
      <c r="D33" s="13" t="s">
        <v>98</v>
      </c>
      <c r="E33" s="12">
        <v>3</v>
      </c>
      <c r="F33" s="12"/>
      <c r="G33" s="13" t="s">
        <v>168</v>
      </c>
      <c r="H33" s="13"/>
      <c r="I33" s="15"/>
      <c r="J33" s="16"/>
      <c r="K33" s="15"/>
      <c r="L33" s="16"/>
    </row>
    <row r="34" spans="1:12" ht="25" x14ac:dyDescent="0.35">
      <c r="A34" s="12" t="s">
        <v>289</v>
      </c>
      <c r="B34" s="13" t="s">
        <v>290</v>
      </c>
      <c r="C34" s="14" t="s">
        <v>291</v>
      </c>
      <c r="D34" s="13" t="s">
        <v>98</v>
      </c>
      <c r="E34" s="12">
        <v>1</v>
      </c>
      <c r="F34" s="12"/>
      <c r="G34" s="13" t="s">
        <v>168</v>
      </c>
      <c r="H34" s="13" t="s">
        <v>292</v>
      </c>
      <c r="I34" s="15"/>
      <c r="J34" s="16"/>
      <c r="K34" s="15"/>
      <c r="L34" s="16"/>
    </row>
    <row r="35" spans="1:12" ht="25" x14ac:dyDescent="0.35">
      <c r="A35" s="12" t="s">
        <v>293</v>
      </c>
      <c r="B35" s="13" t="s">
        <v>290</v>
      </c>
      <c r="C35" s="14" t="s">
        <v>294</v>
      </c>
      <c r="D35" s="13" t="s">
        <v>98</v>
      </c>
      <c r="E35" s="12">
        <v>1</v>
      </c>
      <c r="F35" s="12"/>
      <c r="G35" s="13" t="s">
        <v>168</v>
      </c>
      <c r="H35" s="13" t="s">
        <v>292</v>
      </c>
      <c r="I35" s="15"/>
      <c r="J35" s="16"/>
      <c r="K35" s="15"/>
      <c r="L35" s="16"/>
    </row>
    <row r="36" spans="1:12" ht="25" x14ac:dyDescent="0.35">
      <c r="A36" s="12" t="s">
        <v>295</v>
      </c>
      <c r="B36" s="13" t="s">
        <v>290</v>
      </c>
      <c r="C36" s="14" t="s">
        <v>296</v>
      </c>
      <c r="D36" s="13" t="s">
        <v>98</v>
      </c>
      <c r="E36" s="12">
        <v>1</v>
      </c>
      <c r="F36" s="12"/>
      <c r="G36" s="13" t="s">
        <v>168</v>
      </c>
      <c r="H36" s="13" t="s">
        <v>292</v>
      </c>
      <c r="I36" s="15"/>
      <c r="J36" s="16"/>
      <c r="K36" s="15"/>
      <c r="L36" s="16"/>
    </row>
    <row r="37" spans="1:12" ht="25" x14ac:dyDescent="0.35">
      <c r="A37" s="12" t="s">
        <v>297</v>
      </c>
      <c r="B37" s="13" t="s">
        <v>298</v>
      </c>
      <c r="C37" s="14" t="s">
        <v>82</v>
      </c>
      <c r="D37" s="13" t="s">
        <v>98</v>
      </c>
      <c r="E37" s="12">
        <v>5</v>
      </c>
      <c r="F37" s="12"/>
      <c r="G37" s="13" t="s">
        <v>168</v>
      </c>
      <c r="H37" s="13" t="s">
        <v>299</v>
      </c>
      <c r="I37" s="15"/>
      <c r="J37" s="16"/>
      <c r="K37" s="15"/>
      <c r="L37" s="16"/>
    </row>
    <row r="38" spans="1:12" ht="25" x14ac:dyDescent="0.35">
      <c r="A38" s="12" t="s">
        <v>300</v>
      </c>
      <c r="B38" s="13" t="s">
        <v>298</v>
      </c>
      <c r="C38" s="14" t="s">
        <v>79</v>
      </c>
      <c r="D38" s="13" t="s">
        <v>98</v>
      </c>
      <c r="E38" s="12">
        <v>2</v>
      </c>
      <c r="F38" s="12"/>
      <c r="G38" s="13" t="s">
        <v>168</v>
      </c>
      <c r="H38" s="13" t="s">
        <v>299</v>
      </c>
      <c r="I38" s="15"/>
      <c r="J38" s="16"/>
      <c r="K38" s="15"/>
      <c r="L38" s="16"/>
    </row>
    <row r="39" spans="1:12" ht="25" x14ac:dyDescent="0.35">
      <c r="A39" s="12" t="s">
        <v>301</v>
      </c>
      <c r="B39" s="13" t="s">
        <v>298</v>
      </c>
      <c r="C39" s="14" t="s">
        <v>76</v>
      </c>
      <c r="D39" s="13" t="s">
        <v>98</v>
      </c>
      <c r="E39" s="12">
        <v>15</v>
      </c>
      <c r="F39" s="12"/>
      <c r="G39" s="13" t="s">
        <v>168</v>
      </c>
      <c r="H39" s="13" t="s">
        <v>299</v>
      </c>
      <c r="I39" s="15"/>
      <c r="J39" s="16"/>
      <c r="K39" s="15"/>
      <c r="L39" s="16"/>
    </row>
    <row r="40" spans="1:12" ht="25" x14ac:dyDescent="0.35">
      <c r="A40" s="12" t="s">
        <v>302</v>
      </c>
      <c r="B40" s="13" t="s">
        <v>298</v>
      </c>
      <c r="C40" s="14" t="s">
        <v>303</v>
      </c>
      <c r="D40" s="13" t="s">
        <v>98</v>
      </c>
      <c r="E40" s="12">
        <v>6</v>
      </c>
      <c r="F40" s="12"/>
      <c r="G40" s="13" t="s">
        <v>168</v>
      </c>
      <c r="H40" s="13" t="s">
        <v>299</v>
      </c>
      <c r="I40" s="15"/>
      <c r="J40" s="16"/>
      <c r="K40" s="15"/>
      <c r="L40" s="16"/>
    </row>
    <row r="41" spans="1:12" ht="25" x14ac:dyDescent="0.35">
      <c r="A41" s="12" t="s">
        <v>304</v>
      </c>
      <c r="B41" s="13" t="s">
        <v>298</v>
      </c>
      <c r="C41" s="14" t="s">
        <v>305</v>
      </c>
      <c r="D41" s="13" t="s">
        <v>98</v>
      </c>
      <c r="E41" s="12">
        <v>19</v>
      </c>
      <c r="F41" s="12"/>
      <c r="G41" s="13" t="s">
        <v>168</v>
      </c>
      <c r="H41" s="13" t="s">
        <v>299</v>
      </c>
      <c r="I41" s="15"/>
      <c r="J41" s="16"/>
      <c r="K41" s="15"/>
      <c r="L41" s="16"/>
    </row>
    <row r="42" spans="1:12" ht="25" x14ac:dyDescent="0.35">
      <c r="A42" s="12" t="s">
        <v>306</v>
      </c>
      <c r="B42" s="13" t="s">
        <v>298</v>
      </c>
      <c r="C42" s="14" t="s">
        <v>307</v>
      </c>
      <c r="D42" s="13" t="s">
        <v>98</v>
      </c>
      <c r="E42" s="12">
        <v>20</v>
      </c>
      <c r="F42" s="12"/>
      <c r="G42" s="13" t="s">
        <v>168</v>
      </c>
      <c r="H42" s="13" t="s">
        <v>299</v>
      </c>
      <c r="I42" s="15"/>
      <c r="J42" s="16"/>
      <c r="K42" s="15"/>
      <c r="L42" s="16"/>
    </row>
    <row r="43" spans="1:12" ht="25" x14ac:dyDescent="0.35">
      <c r="A43" s="12" t="s">
        <v>308</v>
      </c>
      <c r="B43" s="13" t="s">
        <v>88</v>
      </c>
      <c r="C43" s="14" t="s">
        <v>309</v>
      </c>
      <c r="D43" s="13" t="s">
        <v>98</v>
      </c>
      <c r="E43" s="12">
        <v>2</v>
      </c>
      <c r="F43" s="12"/>
      <c r="G43" s="13" t="s">
        <v>168</v>
      </c>
      <c r="H43" s="13" t="s">
        <v>299</v>
      </c>
      <c r="I43" s="15"/>
      <c r="J43" s="16"/>
      <c r="K43" s="15"/>
      <c r="L43" s="16"/>
    </row>
    <row r="44" spans="1:12" ht="25" x14ac:dyDescent="0.35">
      <c r="A44" s="12" t="s">
        <v>310</v>
      </c>
      <c r="B44" s="13" t="s">
        <v>88</v>
      </c>
      <c r="C44" s="14" t="s">
        <v>311</v>
      </c>
      <c r="D44" s="13" t="s">
        <v>98</v>
      </c>
      <c r="E44" s="12">
        <v>3</v>
      </c>
      <c r="F44" s="12"/>
      <c r="G44" s="13" t="s">
        <v>168</v>
      </c>
      <c r="H44" s="13" t="s">
        <v>299</v>
      </c>
      <c r="I44" s="15"/>
      <c r="J44" s="16"/>
      <c r="K44" s="15"/>
      <c r="L44" s="16"/>
    </row>
    <row r="45" spans="1:12" ht="25" x14ac:dyDescent="0.35">
      <c r="A45" s="12" t="s">
        <v>312</v>
      </c>
      <c r="B45" s="13" t="s">
        <v>88</v>
      </c>
      <c r="C45" s="14" t="s">
        <v>85</v>
      </c>
      <c r="D45" s="13" t="s">
        <v>98</v>
      </c>
      <c r="E45" s="12">
        <v>8</v>
      </c>
      <c r="F45" s="12"/>
      <c r="G45" s="13" t="s">
        <v>168</v>
      </c>
      <c r="H45" s="13" t="s">
        <v>299</v>
      </c>
      <c r="I45" s="15"/>
      <c r="J45" s="16"/>
      <c r="K45" s="15"/>
      <c r="L45" s="16"/>
    </row>
    <row r="46" spans="1:12" ht="25" x14ac:dyDescent="0.35">
      <c r="A46" s="12" t="s">
        <v>313</v>
      </c>
      <c r="B46" s="13" t="s">
        <v>88</v>
      </c>
      <c r="C46" s="14" t="s">
        <v>82</v>
      </c>
      <c r="D46" s="13" t="s">
        <v>98</v>
      </c>
      <c r="E46" s="12">
        <v>2</v>
      </c>
      <c r="F46" s="12"/>
      <c r="G46" s="13" t="s">
        <v>168</v>
      </c>
      <c r="H46" s="13" t="s">
        <v>299</v>
      </c>
      <c r="I46" s="15"/>
      <c r="J46" s="16"/>
      <c r="K46" s="15"/>
      <c r="L46" s="16"/>
    </row>
    <row r="47" spans="1:12" ht="25" x14ac:dyDescent="0.35">
      <c r="A47" s="12" t="s">
        <v>314</v>
      </c>
      <c r="B47" s="13" t="s">
        <v>88</v>
      </c>
      <c r="C47" s="14" t="s">
        <v>79</v>
      </c>
      <c r="D47" s="13" t="s">
        <v>98</v>
      </c>
      <c r="E47" s="12">
        <v>2</v>
      </c>
      <c r="F47" s="12"/>
      <c r="G47" s="13" t="s">
        <v>168</v>
      </c>
      <c r="H47" s="13" t="s">
        <v>299</v>
      </c>
      <c r="I47" s="15"/>
      <c r="J47" s="16"/>
      <c r="K47" s="15"/>
      <c r="L47" s="16"/>
    </row>
    <row r="48" spans="1:12" x14ac:dyDescent="0.35">
      <c r="A48" s="12" t="s">
        <v>315</v>
      </c>
      <c r="B48" s="13" t="s">
        <v>316</v>
      </c>
      <c r="C48" s="14" t="s">
        <v>317</v>
      </c>
      <c r="D48" s="13" t="s">
        <v>98</v>
      </c>
      <c r="E48" s="12">
        <v>2</v>
      </c>
      <c r="F48" s="12"/>
      <c r="G48" s="13" t="s">
        <v>168</v>
      </c>
      <c r="H48" s="13"/>
      <c r="I48" s="15"/>
      <c r="J48" s="16"/>
      <c r="K48" s="15"/>
      <c r="L48" s="16"/>
    </row>
    <row r="49" spans="1:12" x14ac:dyDescent="0.35">
      <c r="A49" s="12" t="s">
        <v>318</v>
      </c>
      <c r="B49" s="13" t="s">
        <v>316</v>
      </c>
      <c r="C49" s="14" t="s">
        <v>319</v>
      </c>
      <c r="D49" s="13" t="s">
        <v>98</v>
      </c>
      <c r="E49" s="12">
        <v>1</v>
      </c>
      <c r="F49" s="12"/>
      <c r="G49" s="13" t="s">
        <v>168</v>
      </c>
      <c r="H49" s="13"/>
      <c r="I49" s="15"/>
      <c r="J49" s="16"/>
      <c r="K49" s="15"/>
      <c r="L49" s="16"/>
    </row>
    <row r="50" spans="1:12" x14ac:dyDescent="0.35">
      <c r="A50" s="12" t="s">
        <v>320</v>
      </c>
      <c r="B50" s="13" t="s">
        <v>316</v>
      </c>
      <c r="C50" s="14" t="s">
        <v>321</v>
      </c>
      <c r="D50" s="13" t="s">
        <v>98</v>
      </c>
      <c r="E50" s="12">
        <v>2</v>
      </c>
      <c r="F50" s="12"/>
      <c r="G50" s="13" t="s">
        <v>168</v>
      </c>
      <c r="H50" s="13"/>
      <c r="I50" s="15"/>
      <c r="J50" s="16"/>
      <c r="K50" s="15"/>
      <c r="L50" s="16"/>
    </row>
    <row r="51" spans="1:12" x14ac:dyDescent="0.35">
      <c r="A51" s="12" t="s">
        <v>322</v>
      </c>
      <c r="B51" s="13" t="s">
        <v>316</v>
      </c>
      <c r="C51" s="14" t="s">
        <v>323</v>
      </c>
      <c r="D51" s="13" t="s">
        <v>98</v>
      </c>
      <c r="E51" s="12">
        <v>1</v>
      </c>
      <c r="F51" s="12"/>
      <c r="G51" s="13" t="s">
        <v>168</v>
      </c>
      <c r="H51" s="13"/>
      <c r="I51" s="15"/>
      <c r="J51" s="16"/>
      <c r="K51" s="15"/>
      <c r="L51" s="16"/>
    </row>
    <row r="52" spans="1:12" x14ac:dyDescent="0.35">
      <c r="A52" s="12" t="s">
        <v>324</v>
      </c>
      <c r="B52" s="13" t="s">
        <v>316</v>
      </c>
      <c r="C52" s="14" t="s">
        <v>325</v>
      </c>
      <c r="D52" s="13" t="s">
        <v>98</v>
      </c>
      <c r="E52" s="12">
        <v>1</v>
      </c>
      <c r="F52" s="12"/>
      <c r="G52" s="13" t="s">
        <v>168</v>
      </c>
      <c r="H52" s="13"/>
      <c r="I52" s="15"/>
      <c r="J52" s="16"/>
      <c r="K52" s="15"/>
      <c r="L52" s="16"/>
    </row>
    <row r="53" spans="1:12" x14ac:dyDescent="0.35">
      <c r="A53" s="12" t="s">
        <v>326</v>
      </c>
      <c r="B53" s="13" t="s">
        <v>316</v>
      </c>
      <c r="C53" s="14" t="s">
        <v>327</v>
      </c>
      <c r="D53" s="13" t="s">
        <v>98</v>
      </c>
      <c r="E53" s="12">
        <v>2</v>
      </c>
      <c r="F53" s="12"/>
      <c r="G53" s="13" t="s">
        <v>168</v>
      </c>
      <c r="H53" s="13"/>
      <c r="I53" s="15"/>
      <c r="J53" s="16"/>
      <c r="K53" s="15"/>
      <c r="L53" s="16"/>
    </row>
    <row r="54" spans="1:12" ht="25" x14ac:dyDescent="0.35">
      <c r="A54" s="12" t="s">
        <v>328</v>
      </c>
      <c r="B54" s="13" t="s">
        <v>329</v>
      </c>
      <c r="C54" s="14" t="s">
        <v>203</v>
      </c>
      <c r="D54" s="13" t="s">
        <v>98</v>
      </c>
      <c r="E54" s="12">
        <v>1</v>
      </c>
      <c r="F54" s="12"/>
      <c r="G54" s="13" t="s">
        <v>168</v>
      </c>
      <c r="H54" s="13" t="s">
        <v>330</v>
      </c>
      <c r="I54" s="15"/>
      <c r="J54" s="16"/>
      <c r="K54" s="15"/>
      <c r="L54" s="16"/>
    </row>
    <row r="55" spans="1:12" ht="25" x14ac:dyDescent="0.35">
      <c r="A55" s="12" t="s">
        <v>331</v>
      </c>
      <c r="B55" s="13" t="s">
        <v>329</v>
      </c>
      <c r="C55" s="14" t="s">
        <v>57</v>
      </c>
      <c r="D55" s="13" t="s">
        <v>98</v>
      </c>
      <c r="E55" s="12">
        <v>9</v>
      </c>
      <c r="F55" s="12"/>
      <c r="G55" s="13" t="s">
        <v>168</v>
      </c>
      <c r="H55" s="13" t="s">
        <v>330</v>
      </c>
      <c r="I55" s="15"/>
      <c r="J55" s="16"/>
      <c r="K55" s="15"/>
      <c r="L55" s="16"/>
    </row>
    <row r="56" spans="1:12" x14ac:dyDescent="0.35">
      <c r="A56" s="12" t="s">
        <v>332</v>
      </c>
      <c r="B56" s="13" t="s">
        <v>333</v>
      </c>
      <c r="C56" s="14" t="s">
        <v>257</v>
      </c>
      <c r="D56" s="13" t="s">
        <v>98</v>
      </c>
      <c r="E56" s="12">
        <v>26</v>
      </c>
      <c r="F56" s="12"/>
      <c r="G56" s="13" t="s">
        <v>168</v>
      </c>
      <c r="H56" s="13" t="s">
        <v>334</v>
      </c>
      <c r="I56" s="15"/>
      <c r="J56" s="16"/>
      <c r="K56" s="15"/>
      <c r="L56" s="16"/>
    </row>
    <row r="57" spans="1:12" x14ac:dyDescent="0.35">
      <c r="A57" s="12" t="s">
        <v>335</v>
      </c>
      <c r="B57" s="13" t="s">
        <v>336</v>
      </c>
      <c r="C57" s="14" t="s">
        <v>199</v>
      </c>
      <c r="D57" s="13" t="s">
        <v>98</v>
      </c>
      <c r="E57" s="12">
        <v>4</v>
      </c>
      <c r="F57" s="12"/>
      <c r="G57" s="13" t="s">
        <v>168</v>
      </c>
      <c r="H57" s="13"/>
      <c r="I57" s="15"/>
      <c r="J57" s="16"/>
      <c r="K57" s="15"/>
      <c r="L57" s="16"/>
    </row>
    <row r="58" spans="1:12" x14ac:dyDescent="0.35">
      <c r="A58" s="12" t="s">
        <v>337</v>
      </c>
      <c r="B58" s="13" t="s">
        <v>336</v>
      </c>
      <c r="C58" s="14" t="s">
        <v>203</v>
      </c>
      <c r="D58" s="13" t="s">
        <v>98</v>
      </c>
      <c r="E58" s="12">
        <v>22</v>
      </c>
      <c r="F58" s="12"/>
      <c r="G58" s="13" t="s">
        <v>168</v>
      </c>
      <c r="H58" s="13"/>
      <c r="I58" s="15"/>
      <c r="J58" s="16"/>
      <c r="K58" s="15"/>
      <c r="L58" s="16"/>
    </row>
    <row r="59" spans="1:12" x14ac:dyDescent="0.35">
      <c r="A59" s="12" t="s">
        <v>338</v>
      </c>
      <c r="B59" s="13" t="s">
        <v>336</v>
      </c>
      <c r="C59" s="14" t="s">
        <v>66</v>
      </c>
      <c r="D59" s="13" t="s">
        <v>98</v>
      </c>
      <c r="E59" s="12">
        <v>45</v>
      </c>
      <c r="F59" s="12"/>
      <c r="G59" s="13" t="s">
        <v>168</v>
      </c>
      <c r="H59" s="13"/>
      <c r="I59" s="15"/>
      <c r="J59" s="16"/>
      <c r="K59" s="15"/>
      <c r="L59" s="16"/>
    </row>
    <row r="60" spans="1:12" x14ac:dyDescent="0.35">
      <c r="A60" s="12" t="s">
        <v>339</v>
      </c>
      <c r="B60" s="13" t="s">
        <v>340</v>
      </c>
      <c r="C60" s="14" t="s">
        <v>203</v>
      </c>
      <c r="D60" s="13" t="s">
        <v>98</v>
      </c>
      <c r="E60" s="12">
        <v>1</v>
      </c>
      <c r="F60" s="12"/>
      <c r="G60" s="13" t="s">
        <v>168</v>
      </c>
      <c r="H60" s="13"/>
      <c r="I60" s="15"/>
      <c r="J60" s="16"/>
      <c r="K60" s="15"/>
      <c r="L60" s="16"/>
    </row>
    <row r="61" spans="1:12" x14ac:dyDescent="0.35">
      <c r="A61" s="12" t="s">
        <v>341</v>
      </c>
      <c r="B61" s="13" t="s">
        <v>340</v>
      </c>
      <c r="C61" s="14" t="s">
        <v>199</v>
      </c>
      <c r="D61" s="13" t="s">
        <v>98</v>
      </c>
      <c r="E61" s="12">
        <v>1</v>
      </c>
      <c r="F61" s="12"/>
      <c r="G61" s="13" t="s">
        <v>168</v>
      </c>
      <c r="H61" s="13"/>
      <c r="I61" s="15"/>
      <c r="J61" s="16"/>
      <c r="K61" s="15"/>
      <c r="L61" s="16"/>
    </row>
    <row r="62" spans="1:12" x14ac:dyDescent="0.35">
      <c r="A62" s="12" t="s">
        <v>342</v>
      </c>
      <c r="B62" s="13" t="s">
        <v>188</v>
      </c>
      <c r="C62" s="14" t="s">
        <v>311</v>
      </c>
      <c r="D62" s="13" t="s">
        <v>98</v>
      </c>
      <c r="E62" s="12">
        <v>3</v>
      </c>
      <c r="F62" s="12"/>
      <c r="G62" s="13" t="s">
        <v>168</v>
      </c>
      <c r="H62" s="13" t="s">
        <v>343</v>
      </c>
      <c r="I62" s="15"/>
      <c r="J62" s="16"/>
      <c r="K62" s="15"/>
      <c r="L62" s="16"/>
    </row>
    <row r="63" spans="1:12" x14ac:dyDescent="0.35">
      <c r="A63" s="12" t="s">
        <v>344</v>
      </c>
      <c r="B63" s="13" t="s">
        <v>251</v>
      </c>
      <c r="C63" s="14" t="s">
        <v>85</v>
      </c>
      <c r="D63" s="13" t="s">
        <v>98</v>
      </c>
      <c r="E63" s="12">
        <v>1</v>
      </c>
      <c r="F63" s="12"/>
      <c r="G63" s="13" t="s">
        <v>168</v>
      </c>
      <c r="H63" s="13"/>
      <c r="I63" s="15"/>
      <c r="J63" s="16"/>
      <c r="K63" s="15"/>
      <c r="L63" s="16"/>
    </row>
    <row r="64" spans="1:12" x14ac:dyDescent="0.35">
      <c r="A64" s="12" t="s">
        <v>345</v>
      </c>
      <c r="B64" s="13" t="s">
        <v>251</v>
      </c>
      <c r="C64" s="14" t="s">
        <v>79</v>
      </c>
      <c r="D64" s="13" t="s">
        <v>98</v>
      </c>
      <c r="E64" s="12">
        <v>2</v>
      </c>
      <c r="F64" s="12"/>
      <c r="G64" s="13" t="s">
        <v>168</v>
      </c>
      <c r="H64" s="13"/>
      <c r="I64" s="15"/>
      <c r="J64" s="16"/>
      <c r="K64" s="15"/>
      <c r="L64" s="16"/>
    </row>
    <row r="65" spans="1:12" x14ac:dyDescent="0.35">
      <c r="A65" s="12" t="s">
        <v>346</v>
      </c>
      <c r="B65" s="13" t="s">
        <v>251</v>
      </c>
      <c r="C65" s="14" t="s">
        <v>76</v>
      </c>
      <c r="D65" s="13" t="s">
        <v>98</v>
      </c>
      <c r="E65" s="12">
        <v>2</v>
      </c>
      <c r="F65" s="12"/>
      <c r="G65" s="13" t="s">
        <v>168</v>
      </c>
      <c r="H65" s="13"/>
      <c r="I65" s="15"/>
      <c r="J65" s="16"/>
      <c r="K65" s="15"/>
      <c r="L65" s="16"/>
    </row>
    <row r="66" spans="1:12" ht="25" x14ac:dyDescent="0.35">
      <c r="A66" s="12" t="s">
        <v>347</v>
      </c>
      <c r="B66" s="13" t="s">
        <v>160</v>
      </c>
      <c r="C66" s="14" t="s">
        <v>135</v>
      </c>
      <c r="D66" s="13" t="s">
        <v>98</v>
      </c>
      <c r="E66" s="12">
        <v>26</v>
      </c>
      <c r="F66" s="12"/>
      <c r="G66" s="13" t="s">
        <v>168</v>
      </c>
      <c r="H66" s="13" t="s">
        <v>348</v>
      </c>
      <c r="I66" s="15"/>
      <c r="J66" s="16"/>
      <c r="K66" s="15"/>
      <c r="L66" s="16"/>
    </row>
    <row r="67" spans="1:12" ht="25" x14ac:dyDescent="0.35">
      <c r="A67" s="12" t="s">
        <v>349</v>
      </c>
      <c r="B67" s="13" t="s">
        <v>160</v>
      </c>
      <c r="C67" s="14" t="s">
        <v>163</v>
      </c>
      <c r="D67" s="13" t="s">
        <v>98</v>
      </c>
      <c r="E67" s="12">
        <v>14</v>
      </c>
      <c r="F67" s="12"/>
      <c r="G67" s="13" t="s">
        <v>168</v>
      </c>
      <c r="H67" s="13" t="s">
        <v>348</v>
      </c>
      <c r="I67" s="15"/>
      <c r="J67" s="16"/>
      <c r="K67" s="15"/>
      <c r="L67" s="16"/>
    </row>
    <row r="68" spans="1:12" x14ac:dyDescent="0.35">
      <c r="A68" s="12" t="s">
        <v>350</v>
      </c>
      <c r="B68" s="13" t="s">
        <v>198</v>
      </c>
      <c r="C68" s="14" t="s">
        <v>211</v>
      </c>
      <c r="D68" s="13" t="s">
        <v>98</v>
      </c>
      <c r="E68" s="12">
        <v>13</v>
      </c>
      <c r="F68" s="12"/>
      <c r="G68" s="13" t="s">
        <v>200</v>
      </c>
      <c r="H68" s="13" t="s">
        <v>201</v>
      </c>
      <c r="I68" s="15"/>
      <c r="J68" s="16"/>
      <c r="K68" s="15"/>
      <c r="L68" s="16"/>
    </row>
    <row r="69" spans="1:12" x14ac:dyDescent="0.35">
      <c r="A69" s="12" t="s">
        <v>351</v>
      </c>
      <c r="B69" s="13" t="s">
        <v>198</v>
      </c>
      <c r="C69" s="14" t="s">
        <v>213</v>
      </c>
      <c r="D69" s="13" t="s">
        <v>98</v>
      </c>
      <c r="E69" s="12">
        <v>18</v>
      </c>
      <c r="F69" s="12"/>
      <c r="G69" s="13" t="s">
        <v>200</v>
      </c>
      <c r="H69" s="13" t="s">
        <v>201</v>
      </c>
      <c r="I69" s="15"/>
      <c r="J69" s="16"/>
      <c r="K69" s="15"/>
      <c r="L69" s="16"/>
    </row>
    <row r="70" spans="1:12" x14ac:dyDescent="0.35">
      <c r="A70" s="12" t="s">
        <v>352</v>
      </c>
      <c r="B70" s="13" t="s">
        <v>198</v>
      </c>
      <c r="C70" s="14" t="s">
        <v>199</v>
      </c>
      <c r="D70" s="13" t="s">
        <v>98</v>
      </c>
      <c r="E70" s="12">
        <v>31</v>
      </c>
      <c r="F70" s="12"/>
      <c r="G70" s="13" t="s">
        <v>200</v>
      </c>
      <c r="H70" s="13" t="s">
        <v>201</v>
      </c>
      <c r="I70" s="15"/>
      <c r="J70" s="16"/>
      <c r="K70" s="15"/>
      <c r="L70" s="16"/>
    </row>
    <row r="71" spans="1:12" x14ac:dyDescent="0.35">
      <c r="A71" s="12" t="s">
        <v>353</v>
      </c>
      <c r="B71" s="13" t="s">
        <v>198</v>
      </c>
      <c r="C71" s="14" t="s">
        <v>57</v>
      </c>
      <c r="D71" s="13" t="s">
        <v>98</v>
      </c>
      <c r="E71" s="12">
        <v>34</v>
      </c>
      <c r="F71" s="12"/>
      <c r="G71" s="13" t="s">
        <v>200</v>
      </c>
      <c r="H71" s="13" t="s">
        <v>201</v>
      </c>
      <c r="I71" s="15"/>
      <c r="J71" s="16"/>
      <c r="K71" s="15"/>
      <c r="L71" s="16"/>
    </row>
    <row r="72" spans="1:12" x14ac:dyDescent="0.35">
      <c r="A72" s="12" t="s">
        <v>354</v>
      </c>
      <c r="B72" s="13" t="s">
        <v>198</v>
      </c>
      <c r="C72" s="14" t="s">
        <v>203</v>
      </c>
      <c r="D72" s="13" t="s">
        <v>98</v>
      </c>
      <c r="E72" s="12">
        <v>86</v>
      </c>
      <c r="F72" s="12"/>
      <c r="G72" s="13" t="s">
        <v>200</v>
      </c>
      <c r="H72" s="13" t="s">
        <v>201</v>
      </c>
      <c r="I72" s="15"/>
      <c r="J72" s="16"/>
      <c r="K72" s="15"/>
      <c r="L72" s="16"/>
    </row>
    <row r="73" spans="1:12" x14ac:dyDescent="0.35">
      <c r="A73" s="12" t="s">
        <v>355</v>
      </c>
      <c r="B73" s="13" t="s">
        <v>198</v>
      </c>
      <c r="C73" s="14" t="s">
        <v>173</v>
      </c>
      <c r="D73" s="13" t="s">
        <v>98</v>
      </c>
      <c r="E73" s="12">
        <v>1</v>
      </c>
      <c r="F73" s="12"/>
      <c r="G73" s="13" t="s">
        <v>200</v>
      </c>
      <c r="H73" s="13" t="s">
        <v>201</v>
      </c>
      <c r="I73" s="15"/>
      <c r="J73" s="16"/>
      <c r="K73" s="15"/>
      <c r="L73" s="16"/>
    </row>
    <row r="74" spans="1:12" x14ac:dyDescent="0.35">
      <c r="A74" s="12" t="s">
        <v>356</v>
      </c>
      <c r="B74" s="13" t="s">
        <v>206</v>
      </c>
      <c r="C74" s="14" t="s">
        <v>203</v>
      </c>
      <c r="D74" s="13" t="s">
        <v>98</v>
      </c>
      <c r="E74" s="12">
        <v>1</v>
      </c>
      <c r="F74" s="12"/>
      <c r="G74" s="13" t="s">
        <v>200</v>
      </c>
      <c r="H74" s="13" t="s">
        <v>201</v>
      </c>
      <c r="I74" s="15"/>
      <c r="J74" s="16"/>
      <c r="K74" s="15"/>
      <c r="L74" s="16"/>
    </row>
    <row r="75" spans="1:12" x14ac:dyDescent="0.35">
      <c r="A75" s="12" t="s">
        <v>357</v>
      </c>
      <c r="B75" s="13" t="s">
        <v>358</v>
      </c>
      <c r="C75" s="14" t="s">
        <v>203</v>
      </c>
      <c r="D75" s="13" t="s">
        <v>98</v>
      </c>
      <c r="E75" s="12">
        <v>20</v>
      </c>
      <c r="F75" s="12"/>
      <c r="G75" s="13" t="s">
        <v>200</v>
      </c>
      <c r="H75" s="13" t="s">
        <v>201</v>
      </c>
      <c r="I75" s="15"/>
      <c r="J75" s="16"/>
      <c r="K75" s="15"/>
      <c r="L75" s="16"/>
    </row>
    <row r="76" spans="1:12" x14ac:dyDescent="0.35">
      <c r="A76" s="12" t="s">
        <v>359</v>
      </c>
      <c r="B76" s="13" t="s">
        <v>358</v>
      </c>
      <c r="C76" s="14" t="s">
        <v>199</v>
      </c>
      <c r="D76" s="13" t="s">
        <v>98</v>
      </c>
      <c r="E76" s="12">
        <v>1</v>
      </c>
      <c r="F76" s="12"/>
      <c r="G76" s="13" t="s">
        <v>200</v>
      </c>
      <c r="H76" s="13" t="s">
        <v>201</v>
      </c>
      <c r="I76" s="15"/>
      <c r="J76" s="16"/>
      <c r="K76" s="15"/>
      <c r="L76" s="16"/>
    </row>
    <row r="77" spans="1:12" x14ac:dyDescent="0.35">
      <c r="A77" s="12" t="s">
        <v>360</v>
      </c>
      <c r="B77" s="13" t="s">
        <v>361</v>
      </c>
      <c r="C77" s="14" t="s">
        <v>257</v>
      </c>
      <c r="D77" s="13" t="s">
        <v>98</v>
      </c>
      <c r="E77" s="12">
        <v>4</v>
      </c>
      <c r="F77" s="12"/>
      <c r="G77" s="13" t="s">
        <v>200</v>
      </c>
      <c r="H77" s="13" t="s">
        <v>201</v>
      </c>
      <c r="I77" s="15"/>
      <c r="J77" s="16"/>
      <c r="K77" s="15"/>
      <c r="L77" s="16"/>
    </row>
    <row r="78" spans="1:12" x14ac:dyDescent="0.35">
      <c r="A78" s="12" t="s">
        <v>362</v>
      </c>
      <c r="B78" s="13" t="s">
        <v>219</v>
      </c>
      <c r="C78" s="14" t="s">
        <v>203</v>
      </c>
      <c r="D78" s="13" t="s">
        <v>98</v>
      </c>
      <c r="E78" s="12">
        <v>29</v>
      </c>
      <c r="F78" s="12"/>
      <c r="G78" s="13" t="s">
        <v>200</v>
      </c>
      <c r="H78" s="13" t="s">
        <v>363</v>
      </c>
      <c r="I78" s="15"/>
      <c r="J78" s="16"/>
      <c r="K78" s="15"/>
      <c r="L78" s="16"/>
    </row>
    <row r="79" spans="1:12" x14ac:dyDescent="0.35">
      <c r="A79" s="12" t="s">
        <v>364</v>
      </c>
      <c r="B79" s="13" t="s">
        <v>219</v>
      </c>
      <c r="C79" s="14" t="s">
        <v>57</v>
      </c>
      <c r="D79" s="13" t="s">
        <v>98</v>
      </c>
      <c r="E79" s="12">
        <v>3</v>
      </c>
      <c r="F79" s="12"/>
      <c r="G79" s="13" t="s">
        <v>200</v>
      </c>
      <c r="H79" s="13" t="s">
        <v>363</v>
      </c>
      <c r="I79" s="15"/>
      <c r="J79" s="16"/>
      <c r="K79" s="15"/>
      <c r="L79" s="16"/>
    </row>
    <row r="80" spans="1:12" x14ac:dyDescent="0.35">
      <c r="A80" s="12" t="s">
        <v>365</v>
      </c>
      <c r="B80" s="13" t="s">
        <v>219</v>
      </c>
      <c r="C80" s="14" t="s">
        <v>199</v>
      </c>
      <c r="D80" s="13" t="s">
        <v>98</v>
      </c>
      <c r="E80" s="12">
        <v>28</v>
      </c>
      <c r="F80" s="12"/>
      <c r="G80" s="13" t="s">
        <v>200</v>
      </c>
      <c r="H80" s="13" t="s">
        <v>363</v>
      </c>
      <c r="I80" s="15"/>
      <c r="J80" s="16"/>
      <c r="K80" s="15"/>
      <c r="L80" s="16"/>
    </row>
    <row r="81" spans="1:12" x14ac:dyDescent="0.35">
      <c r="A81" s="12" t="s">
        <v>366</v>
      </c>
      <c r="B81" s="13" t="s">
        <v>219</v>
      </c>
      <c r="C81" s="14" t="s">
        <v>211</v>
      </c>
      <c r="D81" s="13" t="s">
        <v>98</v>
      </c>
      <c r="E81" s="12">
        <v>10</v>
      </c>
      <c r="F81" s="12"/>
      <c r="G81" s="13" t="s">
        <v>200</v>
      </c>
      <c r="H81" s="13" t="s">
        <v>363</v>
      </c>
      <c r="I81" s="15"/>
      <c r="J81" s="16"/>
      <c r="K81" s="15"/>
      <c r="L81" s="16"/>
    </row>
    <row r="82" spans="1:12" x14ac:dyDescent="0.35">
      <c r="A82" s="12" t="s">
        <v>367</v>
      </c>
      <c r="B82" s="13" t="s">
        <v>219</v>
      </c>
      <c r="C82" s="14" t="s">
        <v>62</v>
      </c>
      <c r="D82" s="13" t="s">
        <v>98</v>
      </c>
      <c r="E82" s="12">
        <v>1</v>
      </c>
      <c r="F82" s="12"/>
      <c r="G82" s="13" t="s">
        <v>200</v>
      </c>
      <c r="H82" s="13" t="s">
        <v>363</v>
      </c>
      <c r="I82" s="15"/>
      <c r="J82" s="16"/>
      <c r="K82" s="15"/>
      <c r="L82" s="16"/>
    </row>
    <row r="83" spans="1:12" x14ac:dyDescent="0.35">
      <c r="A83" s="12" t="s">
        <v>368</v>
      </c>
      <c r="B83" s="13" t="s">
        <v>96</v>
      </c>
      <c r="C83" s="14" t="s">
        <v>203</v>
      </c>
      <c r="D83" s="13" t="s">
        <v>98</v>
      </c>
      <c r="E83" s="12">
        <v>9</v>
      </c>
      <c r="F83" s="12"/>
      <c r="G83" s="13" t="s">
        <v>200</v>
      </c>
      <c r="H83" s="13" t="s">
        <v>363</v>
      </c>
      <c r="I83" s="15"/>
      <c r="J83" s="16"/>
      <c r="K83" s="15"/>
      <c r="L83" s="16"/>
    </row>
    <row r="84" spans="1:12" x14ac:dyDescent="0.35">
      <c r="A84" s="12" t="s">
        <v>369</v>
      </c>
      <c r="B84" s="13" t="s">
        <v>96</v>
      </c>
      <c r="C84" s="14" t="s">
        <v>199</v>
      </c>
      <c r="D84" s="13" t="s">
        <v>98</v>
      </c>
      <c r="E84" s="12">
        <v>6</v>
      </c>
      <c r="F84" s="12"/>
      <c r="G84" s="13" t="s">
        <v>200</v>
      </c>
      <c r="H84" s="13" t="s">
        <v>363</v>
      </c>
      <c r="I84" s="15"/>
      <c r="J84" s="16"/>
      <c r="K84" s="15"/>
      <c r="L84" s="16"/>
    </row>
    <row r="85" spans="1:12" x14ac:dyDescent="0.35">
      <c r="A85" s="12" t="s">
        <v>370</v>
      </c>
      <c r="B85" s="13" t="s">
        <v>96</v>
      </c>
      <c r="C85" s="14" t="s">
        <v>211</v>
      </c>
      <c r="D85" s="13" t="s">
        <v>98</v>
      </c>
      <c r="E85" s="12">
        <v>5</v>
      </c>
      <c r="F85" s="12"/>
      <c r="G85" s="13" t="s">
        <v>200</v>
      </c>
      <c r="H85" s="13" t="s">
        <v>363</v>
      </c>
      <c r="I85" s="15"/>
      <c r="J85" s="16"/>
      <c r="K85" s="15"/>
      <c r="L85" s="16"/>
    </row>
    <row r="86" spans="1:12" x14ac:dyDescent="0.35">
      <c r="A86" s="12" t="s">
        <v>371</v>
      </c>
      <c r="B86" s="13" t="s">
        <v>96</v>
      </c>
      <c r="C86" s="14" t="s">
        <v>213</v>
      </c>
      <c r="D86" s="13" t="s">
        <v>98</v>
      </c>
      <c r="E86" s="12">
        <v>6</v>
      </c>
      <c r="F86" s="12"/>
      <c r="G86" s="13" t="s">
        <v>200</v>
      </c>
      <c r="H86" s="13" t="s">
        <v>363</v>
      </c>
      <c r="I86" s="15"/>
      <c r="J86" s="16"/>
      <c r="K86" s="15"/>
      <c r="L86" s="16"/>
    </row>
  </sheetData>
  <autoFilter ref="A7:L86" xr:uid="{00000000-0009-0000-0000-000002000000}"/>
  <conditionalFormatting sqref="A8:A86">
    <cfRule type="expression" dxfId="1" priority="3">
      <formula>AND(ISNUMBER($I8),$J8&lt;&gt;"")</formula>
    </cfRule>
  </conditionalFormatting>
  <conditionalFormatting sqref="J8:J86">
    <cfRule type="expression" dxfId="0" priority="2">
      <formula>AND(ISNUMBER($I8),$J8="")</formula>
    </cfRule>
  </conditionalFormatting>
  <dataValidations count="1">
    <dataValidation type="whole" allowBlank="1" errorTitle="Whole number" error="Enter a whole number, 0 or more" sqref="I8:I86" xr:uid="{00000000-0002-0000-0200-000000000000}">
      <formula1>0</formula1>
      <formula2>9999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1000000}">
          <x14:formula1>
            <xm:f>Lists!$A$2:$A$12</xm:f>
          </x14:formula1>
          <x14:formula2>
            <xm:f>0</xm:f>
          </x14:formula2>
          <xm:sqref>J8:J86</xm:sqref>
        </x14:dataValidation>
        <x14:dataValidation type="list" allowBlank="1" xr:uid="{00000000-0002-0000-0200-000002000000}">
          <x14:formula1>
            <xm:f>Lists!$B$2:$B$3</xm:f>
          </x14:formula1>
          <x14:formula2>
            <xm:f>0</xm:f>
          </x14:formula2>
          <xm:sqref>K8:K86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zoomScaleNormal="100" workbookViewId="0"/>
  </sheetViews>
  <sheetFormatPr defaultColWidth="8.6328125" defaultRowHeight="14.5" x14ac:dyDescent="0.35"/>
  <cols>
    <col min="1" max="1" width="44" customWidth="1"/>
  </cols>
  <sheetData>
    <row r="1" spans="1:2" x14ac:dyDescent="0.35">
      <c r="A1" s="17" t="s">
        <v>372</v>
      </c>
      <c r="B1" s="17" t="s">
        <v>373</v>
      </c>
    </row>
    <row r="2" spans="1:2" x14ac:dyDescent="0.35">
      <c r="A2" s="7" t="s">
        <v>374</v>
      </c>
      <c r="B2" s="7" t="s">
        <v>375</v>
      </c>
    </row>
    <row r="3" spans="1:2" x14ac:dyDescent="0.35">
      <c r="A3" s="7" t="s">
        <v>376</v>
      </c>
      <c r="B3" s="7" t="s">
        <v>377</v>
      </c>
    </row>
    <row r="4" spans="1:2" x14ac:dyDescent="0.35">
      <c r="A4" s="7" t="s">
        <v>378</v>
      </c>
    </row>
    <row r="5" spans="1:2" x14ac:dyDescent="0.35">
      <c r="A5" s="7" t="s">
        <v>379</v>
      </c>
    </row>
    <row r="6" spans="1:2" x14ac:dyDescent="0.35">
      <c r="A6" s="7" t="s">
        <v>380</v>
      </c>
    </row>
    <row r="7" spans="1:2" x14ac:dyDescent="0.35">
      <c r="A7" s="7" t="s">
        <v>381</v>
      </c>
    </row>
    <row r="8" spans="1:2" x14ac:dyDescent="0.35">
      <c r="A8" s="7" t="s">
        <v>382</v>
      </c>
    </row>
    <row r="9" spans="1:2" x14ac:dyDescent="0.35">
      <c r="A9" s="7" t="s">
        <v>383</v>
      </c>
    </row>
    <row r="10" spans="1:2" x14ac:dyDescent="0.35">
      <c r="A10" s="7" t="s">
        <v>384</v>
      </c>
    </row>
    <row r="11" spans="1:2" x14ac:dyDescent="0.35">
      <c r="A11" s="7" t="s">
        <v>385</v>
      </c>
    </row>
    <row r="12" spans="1:2" x14ac:dyDescent="0.35">
      <c r="A12" s="7" t="s">
        <v>386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Bedaya</vt:lpstr>
      <vt:lpstr>Promenade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Nasser aljedi</cp:lastModifiedBy>
  <cp:revision>0</cp:revision>
  <dcterms:created xsi:type="dcterms:W3CDTF">2026-09-21T09:42:26Z</dcterms:created>
  <dcterms:modified xsi:type="dcterms:W3CDTF">2026-09-22T15:02:53Z</dcterms:modified>
  <dc:language>en-US</dc:language>
</cp:coreProperties>
</file>