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bined Summary" sheetId="1" state="visible" r:id="rId3"/>
    <sheet name="Promenade" sheetId="2" state="visible" r:id="rId4"/>
    <sheet name="Bedaya" sheetId="3" state="visible" r:id="rId5"/>
    <sheet name="Bedaya vs Mindbody" sheetId="4" state="visible" r:id="rId6"/>
    <sheet name="Bedaya Variances" sheetId="5" state="visible" r:id="rId7"/>
    <sheet name="Promenade vs Mindbody" sheetId="6" state="visible" r:id="rId8"/>
    <sheet name="Promenade Variances" sheetId="7" state="visible" r:id="rId9"/>
    <sheet name="Old Stock - No Logo" sheetId="8" state="visible" r:id="rId10"/>
    <sheet name="No Program" sheetId="9" state="visible" r:id="rId11"/>
    <sheet name="Notes &amp; Flags" sheetId="10" state="visible" r:id="rId12"/>
  </sheets>
  <definedNames>
    <definedName function="false" hidden="true" localSheetId="2" name="_xlnm._FilterDatabase" vbProcedure="false">Bedaya!$A$1:$J$200</definedName>
    <definedName function="false" hidden="true" localSheetId="4" name="_xlnm._FilterDatabase" vbProcedure="false">'Bedaya Variances'!$A$7:$I$69</definedName>
    <definedName function="false" hidden="true" localSheetId="3" name="_xlnm._FilterDatabase" vbProcedure="false">'Bedaya vs Mindbody'!$A$9:$I$128</definedName>
    <definedName function="false" hidden="true" localSheetId="0" name="_xlnm._FilterDatabase" vbProcedure="false">'Combined Summary'!$A$1:$F$126</definedName>
    <definedName function="false" hidden="true" localSheetId="8" name="_xlnm._FilterDatabase" vbProcedure="false">'No Program'!$A$1:$J$200</definedName>
    <definedName function="false" hidden="true" localSheetId="7" name="_xlnm._FilterDatabase" vbProcedure="false">'Old Stock - No Logo'!$A$1:$J$200</definedName>
    <definedName function="false" hidden="true" localSheetId="1" name="_xlnm._FilterDatabase" vbProcedure="false">Promenade!$A$1:$J$200</definedName>
    <definedName function="false" hidden="true" localSheetId="6" name="_xlnm._FilterDatabase" vbProcedure="false">'Promenade Variances'!$A$7:$I$86</definedName>
    <definedName function="false" hidden="true" localSheetId="5" name="_xlnm._FilterDatabase" vbProcedure="false">'Promenade vs Mindbody'!$A$9:$I$99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<sst xmlns="http://schemas.openxmlformats.org/spreadsheetml/2006/main" count="2508" uniqueCount="332">
  <si>
    <t xml:space="preserve">Item name</t>
  </si>
  <si>
    <t xml:space="preserve">Category</t>
  </si>
  <si>
    <t xml:space="preserve">Size / Variant</t>
  </si>
  <si>
    <t xml:space="preserve">Promenade</t>
  </si>
  <si>
    <t xml:space="preserve">Bedaya</t>
  </si>
  <si>
    <t xml:space="preserve">Combined Total</t>
  </si>
  <si>
    <t xml:space="preserve">Kyokushin Gloves (White)</t>
  </si>
  <si>
    <t xml:space="preserve">Protective Gear</t>
  </si>
  <si>
    <t xml:space="preserve">Small</t>
  </si>
  <si>
    <t xml:space="preserve">XS</t>
  </si>
  <si>
    <t xml:space="preserve">Mouth Guard</t>
  </si>
  <si>
    <t xml:space="preserve">Junior</t>
  </si>
  <si>
    <t xml:space="preserve">Supporter</t>
  </si>
  <si>
    <t xml:space="preserve">M</t>
  </si>
  <si>
    <t xml:space="preserve">S</t>
  </si>
  <si>
    <t xml:space="preserve">Shin Guard</t>
  </si>
  <si>
    <t xml:space="preserve">XL</t>
  </si>
  <si>
    <t xml:space="preserve">L</t>
  </si>
  <si>
    <t xml:space="preserve">Boxing Gloves</t>
  </si>
  <si>
    <t xml:space="preserve">12oz</t>
  </si>
  <si>
    <t xml:space="preserve">10oz</t>
  </si>
  <si>
    <t xml:space="preserve">8oz</t>
  </si>
  <si>
    <t xml:space="preserve">6oz</t>
  </si>
  <si>
    <t xml:space="preserve">4oz</t>
  </si>
  <si>
    <t xml:space="preserve">2oz</t>
  </si>
  <si>
    <t xml:space="preserve">UFC Gloves</t>
  </si>
  <si>
    <t xml:space="preserve">Headguard (Elite Logo)</t>
  </si>
  <si>
    <t xml:space="preserve">-</t>
  </si>
  <si>
    <t xml:space="preserve">Boxing Gloves (Elite Logo)</t>
  </si>
  <si>
    <t xml:space="preserve">MMA Gloves (Elite Logo)</t>
  </si>
  <si>
    <t xml:space="preserve">Gloves (Elite Logo) - Old</t>
  </si>
  <si>
    <t xml:space="preserve">Shin Guard (Elite Logo) - Old</t>
  </si>
  <si>
    <t xml:space="preserve">XXL</t>
  </si>
  <si>
    <t xml:space="preserve">Karate Gloves (Blue)</t>
  </si>
  <si>
    <t xml:space="preserve">Kajukimbo Uniform</t>
  </si>
  <si>
    <t xml:space="preserve">Uniforms</t>
  </si>
  <si>
    <t xml:space="preserve">200cm</t>
  </si>
  <si>
    <t xml:space="preserve">190cm</t>
  </si>
  <si>
    <t xml:space="preserve">180cm</t>
  </si>
  <si>
    <t xml:space="preserve">170cm</t>
  </si>
  <si>
    <t xml:space="preserve">160cm</t>
  </si>
  <si>
    <t xml:space="preserve">150cm</t>
  </si>
  <si>
    <t xml:space="preserve">140cm</t>
  </si>
  <si>
    <t xml:space="preserve">130cm</t>
  </si>
  <si>
    <t xml:space="preserve">120cm</t>
  </si>
  <si>
    <t xml:space="preserve">110cm</t>
  </si>
  <si>
    <t xml:space="preserve">100cm</t>
  </si>
  <si>
    <t xml:space="preserve">Taekwondo Uniform</t>
  </si>
  <si>
    <t xml:space="preserve">Karate Uniform</t>
  </si>
  <si>
    <t xml:space="preserve">Jiu Jitsu Uniform (Elite Logo)</t>
  </si>
  <si>
    <t xml:space="preserve">A3 - Black</t>
  </si>
  <si>
    <t xml:space="preserve">3/180 - Gray</t>
  </si>
  <si>
    <t xml:space="preserve">A3 - Gray/Blue</t>
  </si>
  <si>
    <t xml:space="preserve">Kajukimbo Uniform (With Logo, No Patches)</t>
  </si>
  <si>
    <t xml:space="preserve">Pants (Small)</t>
  </si>
  <si>
    <t xml:space="preserve">Kickboxing T-shirt</t>
  </si>
  <si>
    <t xml:space="preserve">Merchandise</t>
  </si>
  <si>
    <t xml:space="preserve">40</t>
  </si>
  <si>
    <t xml:space="preserve">38</t>
  </si>
  <si>
    <t xml:space="preserve">36</t>
  </si>
  <si>
    <t xml:space="preserve">34</t>
  </si>
  <si>
    <t xml:space="preserve">32</t>
  </si>
  <si>
    <t xml:space="preserve">White T-shirt (Elite)</t>
  </si>
  <si>
    <t xml:space="preserve">13/14</t>
  </si>
  <si>
    <t xml:space="preserve">11/12</t>
  </si>
  <si>
    <t xml:space="preserve">5/6</t>
  </si>
  <si>
    <t xml:space="preserve">3/4</t>
  </si>
  <si>
    <t xml:space="preserve">Backpack with Elite Logo</t>
  </si>
  <si>
    <t xml:space="preserve">Students' Elite T-shirt (White)</t>
  </si>
  <si>
    <t xml:space="preserve">Instructor T-shirt (Elite Logo)</t>
  </si>
  <si>
    <t xml:space="preserve">Systema T-shirt (Gray)</t>
  </si>
  <si>
    <t xml:space="preserve">Elite MMA T-shirt</t>
  </si>
  <si>
    <t xml:space="preserve">9/10</t>
  </si>
  <si>
    <t xml:space="preserve">7/8</t>
  </si>
  <si>
    <t xml:space="preserve">White T-shirt (Elite) - From Argan (Old)</t>
  </si>
  <si>
    <t xml:space="preserve">Elite T-shirt (Gray)</t>
  </si>
  <si>
    <t xml:space="preserve">Short Pants (Black)</t>
  </si>
  <si>
    <t xml:space="preserve">Systema T-shirt (Black)</t>
  </si>
  <si>
    <t xml:space="preserve">3XL</t>
  </si>
  <si>
    <t xml:space="preserve">Elite T-shirt with Logo (Old)</t>
  </si>
  <si>
    <t xml:space="preserve">XL / Black</t>
  </si>
  <si>
    <t xml:space="preserve">M / Black</t>
  </si>
  <si>
    <t xml:space="preserve">S / Black</t>
  </si>
  <si>
    <t xml:space="preserve">XS / Black</t>
  </si>
  <si>
    <t xml:space="preserve">L / White</t>
  </si>
  <si>
    <t xml:space="preserve">XS / White</t>
  </si>
  <si>
    <t xml:space="preserve">Bottle Water</t>
  </si>
  <si>
    <t xml:space="preserve">Orange</t>
  </si>
  <si>
    <t xml:space="preserve">White</t>
  </si>
  <si>
    <t xml:space="preserve">Kajukimbo Patch - Circle (Front)</t>
  </si>
  <si>
    <t xml:space="preserve">Patches &amp; Badges</t>
  </si>
  <si>
    <t xml:space="preserve">Kajukimbo Patch - Shoulder</t>
  </si>
  <si>
    <t xml:space="preserve">Damaged Items (item not specified)</t>
  </si>
  <si>
    <t xml:space="preserve">Damaged</t>
  </si>
  <si>
    <t xml:space="preserve">Note: quantities are pulled by formula from the Promenade and Bedaya sheets (matched on Item name + Size / Variant). Items added on a branch sheet with a new name/size need a new row here.</t>
  </si>
  <si>
    <t xml:space="preserve">Branch</t>
  </si>
  <si>
    <t xml:space="preserve">Quantity counted</t>
  </si>
  <si>
    <t xml:space="preserve">Unit</t>
  </si>
  <si>
    <t xml:space="preserve">Reorder level</t>
  </si>
  <si>
    <t xml:space="preserve">Unit cost</t>
  </si>
  <si>
    <t xml:space="preserve">Total value</t>
  </si>
  <si>
    <t xml:space="preserve">Notes</t>
  </si>
  <si>
    <t xml:space="preserve">pcs</t>
  </si>
  <si>
    <t xml:space="preserve">20 Sep 2026 - stock remaining | Listed in Argan count as 'already in Elite Promenade'</t>
  </si>
  <si>
    <t xml:space="preserve">20 Sep 2026 - stock remaining | Listed as 'Front Patch' - assumed same as Circle (Front)</t>
  </si>
  <si>
    <t xml:space="preserve">pairs</t>
  </si>
  <si>
    <t xml:space="preserve">19 Sep 2026 - received from Bedaya (transfer)</t>
  </si>
  <si>
    <t xml:space="preserve">19 Sep 2026 - received from Bedaya (transfer) | Transfer 2 pairs; pre-transfer M count QUANTITY NOT WRITTEN (only 'M' listed)</t>
  </si>
  <si>
    <t xml:space="preserve">19 Sep 2026 - received from Bedaya (transfer) | 2 pairs counted (New items, Sep 16) + 2 pairs transferred</t>
  </si>
  <si>
    <t xml:space="preserve">Sep 2026 (16-17) - Promenade handwritten count, before 19 Sep transfer | New Elite T-shirt</t>
  </si>
  <si>
    <t xml:space="preserve">Sep 2026 (16-17) - Promenade handwritten count, before 19 Sep transfer | Marked 'From Argan', old - check not already counted at Bedaya</t>
  </si>
  <si>
    <t xml:space="preserve">Sep 2026 (16-17) - Promenade handwritten count, before 19 Sep transfer | New Elite T-shirt, gray, for instructor</t>
  </si>
  <si>
    <t xml:space="preserve">Sep 2026 (16-17) - Promenade handwritten count, before 19 Sep transfer | 'New items' page - may overlap with Instructor T-shirt L</t>
  </si>
  <si>
    <t xml:space="preserve">Sep 2026 (16-17) - Promenade handwritten count, before 19 Sep transfer | 'New items' page</t>
  </si>
  <si>
    <t xml:space="preserve">Sep 2026 (16-17) - Promenade handwritten count, before 19 Sep transfer | New. Listed twice (2 pages) - counted once</t>
  </si>
  <si>
    <t xml:space="preserve">Sep 2026 (16-17) - Promenade handwritten count, before 19 Sep transfer | New items</t>
  </si>
  <si>
    <t xml:space="preserve">Sep 2026 (16-17) - Promenade handwritten count, before 19 Sep transfer | Old. 23 written beside M only - could be total for L/M/S</t>
  </si>
  <si>
    <t xml:space="preserve">Sep 2026 (16-17) - Promenade handwritten count, before 19 Sep transfer | Old. QUANTITY NOT WRITTEN (dash)</t>
  </si>
  <si>
    <t xml:space="preserve">Sep 2026 (16-17) - Promenade handwritten count, before 19 Sep transfer | Old</t>
  </si>
  <si>
    <t xml:space="preserve">Sep 2026 (16-17) - Promenade handwritten count, before 19 Sep transfer | With Elite logo; size as written 'A-3'</t>
  </si>
  <si>
    <t xml:space="preserve">Sep 2026 (16-17) - Promenade handwritten count, before 19 Sep transfer | With Elite logo; size as written</t>
  </si>
  <si>
    <t xml:space="preserve">Sep 2026 (16-17) - Promenade handwritten count, before 19 Sep transfer</t>
  </si>
  <si>
    <t xml:space="preserve">Sep 2026 (16-17) - Promenade handwritten count, before 19 Sep transfer | Numeric sizes 36-40 kept as separate variants</t>
  </si>
  <si>
    <t xml:space="preserve">Sep 2026 (16-17) - Promenade handwritten count, before 19 Sep transfer | XXL: 2 crossed out, 3 written</t>
  </si>
  <si>
    <t xml:space="preserve">Sep 2026 (16-17) - Promenade handwritten count, before 19 Sep transfer | QUANTITY NOT WRITTEN (dash)</t>
  </si>
  <si>
    <t xml:space="preserve">Sep 2026 (16-17) - Promenade handwritten count, before 19 Sep transfer | Old, with logo. A second 'XL 2pcs' line was crossed out and ignored</t>
  </si>
  <si>
    <t xml:space="preserve">Sep 2026 (16-17) - Promenade handwritten count, before 19 Sep transfer | Old, with logo</t>
  </si>
  <si>
    <t xml:space="preserve">Sep 2026 (16-17) - Promenade handwritten count, before 19 Sep transfer | With logo, without patches</t>
  </si>
  <si>
    <t xml:space="preserve">Sep 2026 (16-17) - Promenade handwritten count, before 19 Sep transfer | Heading 'Small - pants' - item type unclear</t>
  </si>
  <si>
    <t xml:space="preserve">Sep 2026 (16-17) - Promenade handwritten count, before 19 Sep transfer | Heading 'Small - pants'; size could be read as 160 or 180</t>
  </si>
  <si>
    <t xml:space="preserve">Sep 2026 (16-17) - Promenade handwritten count, before 19 Sep transfer | Listed under 'Damages' - item type not written</t>
  </si>
  <si>
    <t xml:space="preserve">Sep 2026 (16-17) - Promenade handwritten count, before 19 Sep transfer | Written as 'Battle' - read as bottle water</t>
  </si>
  <si>
    <t xml:space="preserve">17 Sep 2026 - floor count</t>
  </si>
  <si>
    <t xml:space="preserve">17 Sep 2026 - floor count | Assumed groin guard - confirm name</t>
  </si>
  <si>
    <t xml:space="preserve">17 Sep 2026 - floor count | OUT OF STOCK - reorder</t>
  </si>
  <si>
    <t xml:space="preserve">17 Sep 2026 - floor count | Numeric size</t>
  </si>
  <si>
    <t xml:space="preserve">17 Sep 2026 - store / old stock</t>
  </si>
  <si>
    <t xml:space="preserve">20 Sep 2026 - stock remaining | Count 1 less 2 transferred to Promenade 19 Sep 2026</t>
  </si>
  <si>
    <t xml:space="preserve">20 Sep 2026 - stock remaining | Count 2 less 2 transferred to Promenade 19 Sep 2026</t>
  </si>
  <si>
    <t xml:space="preserve">20 Sep 2026 - stock remaining | Count 1 less 1 transferred to Promenade 19 Sep 2026</t>
  </si>
  <si>
    <t xml:space="preserve">20 Sep 2026 - stock remaining | Count 3 less 2 transferred to Promenade 19 Sep 2026</t>
  </si>
  <si>
    <t xml:space="preserve">20 Sep 2026 - stock remaining</t>
  </si>
  <si>
    <t xml:space="preserve">20 Sep 2026 - stock remaining | Unit not written - assumed pcs</t>
  </si>
  <si>
    <t xml:space="preserve">Bedaya - physical count vs Mindbody (Inventory On Hand, 20 Sep 2026)</t>
  </si>
  <si>
    <t xml:space="preserve">Physical counts are 17 and 20 Sep 2026; sales between count date and 20 Sep are NOT adjusted. Mindbody quantities (blue) are typed from the export.</t>
  </si>
  <si>
    <t xml:space="preserve">Summary (number of lines)</t>
  </si>
  <si>
    <t xml:space="preserve">Match</t>
  </si>
  <si>
    <t xml:space="preserve">Physical higher</t>
  </si>
  <si>
    <t xml:space="preserve">Mindbody higher</t>
  </si>
  <si>
    <t xml:space="preserve">Not in Mindbody</t>
  </si>
  <si>
    <t xml:space="preserve">Not counted</t>
  </si>
  <si>
    <t xml:space="preserve">Mindbody product</t>
  </si>
  <si>
    <t xml:space="preserve">Mindbody size</t>
  </si>
  <si>
    <t xml:space="preserve">Counted item</t>
  </si>
  <si>
    <t xml:space="preserve">Counted size</t>
  </si>
  <si>
    <t xml:space="preserve">Physical count</t>
  </si>
  <si>
    <t xml:space="preserve">Mindbody qty</t>
  </si>
  <si>
    <t xml:space="preserve">Variance (physical - Mindbody)</t>
  </si>
  <si>
    <t xml:space="preserve">Status</t>
  </si>
  <si>
    <t xml:space="preserve">Comment</t>
  </si>
  <si>
    <t xml:space="preserve">2 oz</t>
  </si>
  <si>
    <t xml:space="preserve">Physical reduced by pairs transferred to Promenade on 19 Sep; Mindbody quantity not adjusted. </t>
  </si>
  <si>
    <t xml:space="preserve">4 oz</t>
  </si>
  <si>
    <t xml:space="preserve">6 oz</t>
  </si>
  <si>
    <t xml:space="preserve">8 oz</t>
  </si>
  <si>
    <t xml:space="preserve">10 oz</t>
  </si>
  <si>
    <t xml:space="preserve">12 oz</t>
  </si>
  <si>
    <t xml:space="preserve">Physical reduced by pairs transferred to Promenade on 19 Sep; Mindbody quantity not adjusted. Mindbody shows 11 vs 1 counted - recount / check for typo or unadjusted transfer</t>
  </si>
  <si>
    <t xml:space="preserve">Boys Protective Gear</t>
  </si>
  <si>
    <t xml:space="preserve">(none)</t>
  </si>
  <si>
    <t xml:space="preserve">In Mindbody, not counted in store</t>
  </si>
  <si>
    <t xml:space="preserve">Elite Bag</t>
  </si>
  <si>
    <t xml:space="preserve">One Size</t>
  </si>
  <si>
    <t xml:space="preserve">Elite Jacket</t>
  </si>
  <si>
    <t xml:space="preserve">Large</t>
  </si>
  <si>
    <t xml:space="preserve">Elite Shirt (Black)</t>
  </si>
  <si>
    <t xml:space="preserve">Elite Shirt (White)</t>
  </si>
  <si>
    <t xml:space="preserve">3 - 4</t>
  </si>
  <si>
    <t xml:space="preserve">5 - 6</t>
  </si>
  <si>
    <t xml:space="preserve">11 - 12</t>
  </si>
  <si>
    <t xml:space="preserve">13 - 14</t>
  </si>
  <si>
    <t xml:space="preserve">Medium</t>
  </si>
  <si>
    <t xml:space="preserve">X Large</t>
  </si>
  <si>
    <t xml:space="preserve">9 - 10</t>
  </si>
  <si>
    <t xml:space="preserve">NEGATIVE stock in Mindbody - adjust</t>
  </si>
  <si>
    <t xml:space="preserve">Elite Tournament</t>
  </si>
  <si>
    <t xml:space="preserve">Event/service item with negative stock - not a physical item</t>
  </si>
  <si>
    <t xml:space="preserve">Free Belts</t>
  </si>
  <si>
    <t xml:space="preserve">Black</t>
  </si>
  <si>
    <t xml:space="preserve">Blue</t>
  </si>
  <si>
    <t xml:space="preserve">Brown</t>
  </si>
  <si>
    <t xml:space="preserve">Green</t>
  </si>
  <si>
    <t xml:space="preserve">Purple</t>
  </si>
  <si>
    <t xml:space="preserve">Red</t>
  </si>
  <si>
    <t xml:space="preserve">Yellow</t>
  </si>
  <si>
    <t xml:space="preserve">Instructor Shirt</t>
  </si>
  <si>
    <t xml:space="preserve">(no XL / L line)</t>
  </si>
  <si>
    <t xml:space="preserve">Mindbody only has Grey S and XXL (both 0)</t>
  </si>
  <si>
    <t xml:space="preserve">Kajukenbo Patch</t>
  </si>
  <si>
    <t xml:space="preserve">(one line for both patches)</t>
  </si>
  <si>
    <t xml:space="preserve">Kajukimbo Patch - Circle (Front) + Kajukimbo Patch - Shoulder</t>
  </si>
  <si>
    <t xml:space="preserve">- + -</t>
  </si>
  <si>
    <t xml:space="preserve">Circle 25 + Shoulder 26 compared with the single Mindbody line (Promenade patches excluded)</t>
  </si>
  <si>
    <t xml:space="preserve">Kajukenbo Uniform w/ Patches</t>
  </si>
  <si>
    <t xml:space="preserve">100</t>
  </si>
  <si>
    <t xml:space="preserve">110</t>
  </si>
  <si>
    <t xml:space="preserve">120</t>
  </si>
  <si>
    <t xml:space="preserve">130</t>
  </si>
  <si>
    <t xml:space="preserve">140</t>
  </si>
  <si>
    <t xml:space="preserve">150</t>
  </si>
  <si>
    <t xml:space="preserve">160</t>
  </si>
  <si>
    <t xml:space="preserve">170</t>
  </si>
  <si>
    <t xml:space="preserve">180</t>
  </si>
  <si>
    <t xml:space="preserve">(no 190 line)</t>
  </si>
  <si>
    <t xml:space="preserve">Mindbody only has size 210 (0)</t>
  </si>
  <si>
    <t xml:space="preserve">(no 200 line)</t>
  </si>
  <si>
    <t xml:space="preserve">Kickboxing Shirt</t>
  </si>
  <si>
    <t xml:space="preserve">Kyokushin Gloves</t>
  </si>
  <si>
    <t xml:space="preserve">Extra Small</t>
  </si>
  <si>
    <t xml:space="preserve">Kyokushin Test</t>
  </si>
  <si>
    <t xml:space="preserve">Event/test item with negative stock - not a physical item</t>
  </si>
  <si>
    <t xml:space="preserve">MMA T-Shirt</t>
  </si>
  <si>
    <t xml:space="preserve">(no size)</t>
  </si>
  <si>
    <t xml:space="preserve">Assumed the single Mindbody line is the Small size</t>
  </si>
  <si>
    <t xml:space="preserve">(no Junior line)</t>
  </si>
  <si>
    <t xml:space="preserve">No Junior mouth guard in Mindbody</t>
  </si>
  <si>
    <t xml:space="preserve">New Judo</t>
  </si>
  <si>
    <t xml:space="preserve">Judo Uniform</t>
  </si>
  <si>
    <t xml:space="preserve">Judo - No Program tab (physical 9 vs 8)</t>
  </si>
  <si>
    <t xml:space="preserve">Judo - No Program tab</t>
  </si>
  <si>
    <t xml:space="preserve">150 (+ 'New Judo 150')</t>
  </si>
  <si>
    <t xml:space="preserve">Judo - No Program tab. Mindbody: New Judo 150 = 0 plus New Judo 150 (Olympia) = 6</t>
  </si>
  <si>
    <t xml:space="preserve">Physical quantity was never written - confirm</t>
  </si>
  <si>
    <t xml:space="preserve">New Karate</t>
  </si>
  <si>
    <t xml:space="preserve">Mindbody 150 = 2 (the '150 / 160' line is 0)</t>
  </si>
  <si>
    <t xml:space="preserve">200</t>
  </si>
  <si>
    <t xml:space="preserve">No 190 size in Mindbody</t>
  </si>
  <si>
    <t xml:space="preserve">New Taekwondo</t>
  </si>
  <si>
    <t xml:space="preserve">190</t>
  </si>
  <si>
    <t xml:space="preserve">Extra Large</t>
  </si>
  <si>
    <t xml:space="preserve">Staff Shirt</t>
  </si>
  <si>
    <t xml:space="preserve">(not in Mindbody)</t>
  </si>
  <si>
    <t xml:space="preserve">No supporter / groin guard product in Mindbody</t>
  </si>
  <si>
    <t xml:space="preserve">Systema Shirt</t>
  </si>
  <si>
    <t xml:space="preserve">Black (no size)</t>
  </si>
  <si>
    <t xml:space="preserve">Grey X Large</t>
  </si>
  <si>
    <t xml:space="preserve">(no Grey M line)</t>
  </si>
  <si>
    <t xml:space="preserve">Mindbody only has Grey XL and XXX Large</t>
  </si>
  <si>
    <t xml:space="preserve">(no Grey S line)</t>
  </si>
  <si>
    <t xml:space="preserve">Taekwondo Test</t>
  </si>
  <si>
    <t xml:space="preserve">Size naming differs (Mindbody 'Large' vs counted 8oz) - qty compared</t>
  </si>
  <si>
    <t xml:space="preserve">(no Mindbody product)</t>
  </si>
  <si>
    <t xml:space="preserve">Karate Uniform - 120cm</t>
  </si>
  <si>
    <t xml:space="preserve">Karate Uniform (No Logo)</t>
  </si>
  <si>
    <t xml:space="preserve">Old / no-logo / no-program stock - not listed in Mindbody</t>
  </si>
  <si>
    <t xml:space="preserve">Karate Uniform - 110cm</t>
  </si>
  <si>
    <t xml:space="preserve">Karate Uniform - 100cm</t>
  </si>
  <si>
    <t xml:space="preserve">Taekwondo Uniform - 110cm</t>
  </si>
  <si>
    <t xml:space="preserve">Taekwondo Uniform (Old)</t>
  </si>
  <si>
    <t xml:space="preserve">Taekwondo Uniform - 100cm</t>
  </si>
  <si>
    <t xml:space="preserve">Taekwondo Uniform - 130cm (upper only)</t>
  </si>
  <si>
    <t xml:space="preserve">130cm (upper only)</t>
  </si>
  <si>
    <t xml:space="preserve">Judo Uniform - 140cm</t>
  </si>
  <si>
    <t xml:space="preserve">Judo Uniform (With Logo)</t>
  </si>
  <si>
    <t xml:space="preserve">Judo Uniform - 130cm</t>
  </si>
  <si>
    <t xml:space="preserve">Judo Uniform - 110cm (upper only)</t>
  </si>
  <si>
    <t xml:space="preserve">110cm (upper only)</t>
  </si>
  <si>
    <t xml:space="preserve">Judo Uniform - 100cm (upper only)</t>
  </si>
  <si>
    <t xml:space="preserve">100cm (upper only)</t>
  </si>
  <si>
    <t xml:space="preserve">Judo Uniform - 150cm (upper only)</t>
  </si>
  <si>
    <t xml:space="preserve">150cm (upper only)</t>
  </si>
  <si>
    <t xml:space="preserve">Old / no-logo / no-program stock - not listed in Mindbody | quantity not written</t>
  </si>
  <si>
    <t xml:space="preserve">Judo Uniform (No Logo)</t>
  </si>
  <si>
    <t xml:space="preserve">Judo Uniform - 120cm</t>
  </si>
  <si>
    <t xml:space="preserve">Judo Uniform - 100cm</t>
  </si>
  <si>
    <t xml:space="preserve">Bedaya - items that do not match Mindbody (20 Sep 2026 export)</t>
  </si>
  <si>
    <t xml:space="preserve">Rows link to the 'Bedaya vs Mindbody' tab. Variance = physical - Mindbody. Sorted by status; sales after the count dates are not adjusted.</t>
  </si>
  <si>
    <t xml:space="preserve">Variance</t>
  </si>
  <si>
    <t xml:space="preserve">Promenade - physical count vs Mindbody (Inventory On Hand, 20 Sep 2026)</t>
  </si>
  <si>
    <t xml:space="preserve">Physical = Promenade handwritten count (16-17 Sep) plus the 19 Sep transfer received from Bedaya. Sales after the count dates are NOT adjusted. Mindbody quantities (blue) are typed from the export.</t>
  </si>
  <si>
    <t xml:space="preserve">'From Argan (Old)' 5/6 (1) is listed separately and not included here</t>
  </si>
  <si>
    <t xml:space="preserve">7 - 8</t>
  </si>
  <si>
    <t xml:space="preserve">Physical 4 = 2 counted (New items) + 2 transferred; Mindbody 2 = transfer only</t>
  </si>
  <si>
    <t xml:space="preserve">Physical is the 2 transferred only - pre-transfer M count was not written</t>
  </si>
  <si>
    <t xml:space="preserve">Kajukenbo Patch exists in Bedaya Mindbody, not set up at Promenade</t>
  </si>
  <si>
    <t xml:space="preserve">Not listed in Mindbody Promenade</t>
  </si>
  <si>
    <t xml:space="preserve">Instructor Shirt exists in Bedaya Mindbody, not set up at Promenade</t>
  </si>
  <si>
    <t xml:space="preserve">Mindbody Promenade has only kids' Elite Shirt sizes (3-4 to 11-12)</t>
  </si>
  <si>
    <t xml:space="preserve">Not listed in Mindbody Promenade | Quantity not written</t>
  </si>
  <si>
    <t xml:space="preserve">Jiu Jitsu Uniforms exist in Bedaya Mindbody, not set up at Promenade</t>
  </si>
  <si>
    <t xml:space="preserve">Systema Shirt exists in Bedaya Mindbody, not set up at Promenade</t>
  </si>
  <si>
    <t xml:space="preserve">Systema Shirt exists in Bedaya Mindbody, not set up at Promenade | Quantity not written</t>
  </si>
  <si>
    <t xml:space="preserve">Kajukenbo Uniform w/ Patches exists in Bedaya Mindbody, not set up at Promenade</t>
  </si>
  <si>
    <t xml:space="preserve">Elite Bag exists in Bedaya Mindbody, not set up at Promenade</t>
  </si>
  <si>
    <t xml:space="preserve">No supporter product in Mindbody</t>
  </si>
  <si>
    <t xml:space="preserve">Bottle Water exists in Bedaya Mindbody, not set up at Promenade</t>
  </si>
  <si>
    <t xml:space="preserve">Old / no-logo stock - not listed in Mindbody Promenade</t>
  </si>
  <si>
    <t xml:space="preserve">Kajukimbo Uniform (No Logo)</t>
  </si>
  <si>
    <t xml:space="preserve">Backpack (No Logo)</t>
  </si>
  <si>
    <t xml:space="preserve">Judo (No Program) - not listed in Mindbody Promenade</t>
  </si>
  <si>
    <t xml:space="preserve">Judo (No Program) - not listed in Mindbody Promenade | Quantity not written</t>
  </si>
  <si>
    <t xml:space="preserve">Promenade - items that do not match Mindbody (20 Sep 2026 export)</t>
  </si>
  <si>
    <t xml:space="preserve">Rows link to the 'Promenade vs Mindbody' tab. Variance = physical - Mindbody. Sorted by status; sales after the count dates are not adjusted.</t>
  </si>
  <si>
    <t xml:space="preserve">17 Sep 2026 - store / old stock | Upper only</t>
  </si>
  <si>
    <t xml:space="preserve">Sep 2026 (16-17) - Promenade handwritten count, before 19 Sep transfer | A line '110cm - 35pcs' was crossed out and ignored</t>
  </si>
  <si>
    <t xml:space="preserve">Sep 2026 (16-17) - Promenade handwritten count, before 19 Sep transfer | Black uniform; size handwriting unclear ('7/120' - could be 170 or 120)</t>
  </si>
  <si>
    <t xml:space="preserve">17 Sep 2026 - floor count | QUANTITY NOT WRITTEN - please confirm</t>
  </si>
  <si>
    <t xml:space="preserve">17 Sep 2026 - store / old stock | QUANTITY NOT WRITTEN - please confirm</t>
  </si>
  <si>
    <t xml:space="preserve">OPEN ITEMS - please confirm</t>
  </si>
  <si>
    <t xml:space="preserve">1. Judo Uniform 170cm (floor count, 17 Sep) - now on the 'No Program' tab: no quantity written. Left blank and highlighted yellow.</t>
  </si>
  <si>
    <t xml:space="preserve">2. Judo Uniform (With Logo) 150cm upper only (store count, 17 Sep) - now on the 'No Program' tab: no quantity written. Left blank and highlighted yellow.</t>
  </si>
  <si>
    <t xml:space="preserve">3. PROMENADE count (handwritten, 16-17 Sep 2026) - please confirm: (a) Shin Guard M: no quantity written; (b) Gloves (Elite Logo) Old: 23 written beside M only, L and S blank; (c) Karate Gloves (Blue) L, Systema T-shirt (Gray) S, Judo (No Logo) 130cm, Judo (With Logo) 100cm: dashes, no quantity; (d) 'Small - pants' item type and 160cm size unclear; (e) 'Damages' item type not written; (f) Kajukimbo no-logo black uniform size unclear (120 or 170).</t>
  </si>
  <si>
    <t xml:space="preserve">4. 'White T-shirt (Elite) - From Argan (Old)' at Promenade (13/14 1, 11/12 2, 5/6 1, 3/4 2): if these were moved from Bedaya, they may still be counted in Bedaya's stock.</t>
  </si>
  <si>
    <t xml:space="preserve">5. Headguard (1) appears on two Promenade pages and was counted once. Gray Elite T-shirt L appears on two pages (1 + 2) and was kept as separate lines.</t>
  </si>
  <si>
    <t xml:space="preserve">ASSUMPTIONS MADE</t>
  </si>
  <si>
    <t xml:space="preserve">- Promenade count: all 'w/o logo' items and old no-logo items were placed on 'Old Stock - No Logo' (Branch = Promenade); all Judo uniforms on 'No Program' (Branch = Promenade). 'Boxing Gloves (Elite Logo)' etc. are kept as separate items from plain gloves. Shin Guard L/M on Promenade = pre-transfer count + 19 Sep transfer. 'Battle' read as bottle water.</t>
  </si>
  <si>
    <t xml:space="preserve">- All Judo uniforms (floor count, with logo, without logo) were moved to the tab 'No Program' because Judo coaching has stopped. They are NOT included in the Bedaya sheet or the Combined Summary.</t>
  </si>
  <si>
    <t xml:space="preserve">- Old / no-logo stock (Karate Uniform (No Logo), Taekwondo Uniform (Old)) was moved to the separate tab 'Old Stock - No Logo' (all held at Bedaya). It is NOT included in the Bedaya sheet or the Combined Summary. Taekwondo (Old) was labelled old but logo status was not stated - confirm.</t>
  </si>
  <si>
    <t xml:space="preserve">- The counts headed 'Elite Argan' / 'Argan Elite' / 'Argan Inventory' are recorded as Bedaya (confirmed by user: Argan is Bedaya).</t>
  </si>
  <si>
    <t xml:space="preserve">- 'Supporter' kept as written (assumed to be a groin guard).</t>
  </si>
  <si>
    <t xml:space="preserve">- Kickboxing T-shirt sizes 32-40 are numeric (probably kids) and kept as separate variants from S-XL.</t>
  </si>
  <si>
    <t xml:space="preserve">- 'Store and old stock' counts are kept as separate item names (e.g. 'Karate Uniform (No Logo)', 'Taekwondo Uniform (Old)') so they are not mixed with the floor count of the same uniform.</t>
  </si>
  <si>
    <t xml:space="preserve">- 'Upper only' pieces are listed as their own variants, e.g. '110cm (upper only)'.</t>
  </si>
  <si>
    <t xml:space="preserve">- Kajukimbo Shoulder Patch (26) had no unit; assumed pcs. Promenade 'Front Patch' assumed to be the same item as 'Circle Patch (Front)'.</t>
  </si>
  <si>
    <t xml:space="preserve">- The 6 shoulder + 6 front patches marked 'Already in Elite Promenade' are recorded on the Promenade sheet, not Bedaya.</t>
  </si>
  <si>
    <t xml:space="preserve">- 19 Sep 2026 transfer: Boxing Gloves and Shin Guards received at Promenade (pairs) were REMOVED from Bedaya per user instruction (Bedaya quantity = 20 Sep count less pairs transferred, shown as a formula). Negative results (Boxing Gloves 6oz, Shin Guard M and XL) mean fewer were counted at Bedaya than were transferred - confirm. Mindbody was not adjusted for the transfer.</t>
  </si>
  <si>
    <t xml:space="preserve">- Count dates: 17 Sep 2026 (floor and store counts) and 20 Sep 2026 (stock remaining). The date is in each row's Notes.</t>
  </si>
  <si>
    <t xml:space="preserve">- Reorder level and Unit cost are blank (no figures supplied). Total value calculates once unit cost is entered. Rows turn amber when quantity &lt;= reorder level, and quantity cells turn red at 0.</t>
  </si>
  <si>
    <t xml:space="preserve">- Bedaya vs Mindbody tab: variance = physical count minus Mindbody quantity. Mindbody quantities are typed values from the 20 Sep 2026 export (blue). No sales adjustment has been made between the 17/20 Sep counts and the export.</t>
  </si>
  <si>
    <t xml:space="preserve">- Promenade vs Mindbody / Promenade Variances tabs: variance = physical count - Mindbody quantity (Promenade Mindbody export dated 20 Sep 2026, 14 product lines). No sales adjustment. Physical = handwritten count plus the 19 Sep transfer. Mindbody Promenade gloves and shin guards equal the transfer quantities.</t>
  </si>
  <si>
    <t xml:space="preserve">HOW TO ADD A COUNT</t>
  </si>
  <si>
    <t xml:space="preserve">Type in the branch sheet, one row per item and size. Example: Promenade | Karate Uniform | Uniforms | 140cm | 3 | pcs | 2 | 12.000 | (auto) | 21 Sep 2026 - floor count. Use the exact item name and size text used on the Bedaya sheet so the Combined Summary picks it up.</t>
  </si>
</sst>
</file>

<file path=xl/styles.xml><?xml version="1.0" encoding="utf-8"?>
<styleSheet xmlns="http://schemas.openxmlformats.org/spreadsheetml/2006/main">
  <numFmts count="5">
    <numFmt numFmtId="164" formatCode="General"/>
    <numFmt numFmtId="165" formatCode="@"/>
    <numFmt numFmtId="166" formatCode="General"/>
    <numFmt numFmtId="167" formatCode="#,##0.000"/>
    <numFmt numFmtId="168" formatCode="#,##0.000;\(#,##0.00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b val="true"/>
      <sz val="12"/>
      <name val="Arial"/>
      <family val="0"/>
      <charset val="1"/>
    </font>
    <font>
      <sz val="10"/>
      <color rgb="FF0000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5" fillId="3"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6"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bgColor rgb="FFF8CBAD"/>
        </patternFill>
      </fill>
    </dxf>
    <dxf>
      <fill>
        <patternFill patternType="solid">
          <fgColor rgb="FFFFFF00"/>
          <bgColor rgb="FF000000"/>
        </patternFill>
      </fill>
    </dxf>
    <dxf>
      <fill>
        <patternFill>
          <bgColor rgb="FFFF7C80"/>
        </patternFill>
      </fill>
    </dxf>
    <dxf>
      <fill>
        <patternFill>
          <bgColor rgb="FFFFE699"/>
        </patternFill>
      </fill>
    </dxf>
    <dxf>
      <fill>
        <patternFill patternType="solid">
          <fgColor rgb="FFFF7C80"/>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E699"/>
          <bgColor rgb="FF000000"/>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7C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22"/>
    <col collapsed="false" customWidth="true" hidden="false" outlineLevel="0" max="5" min="4" style="0" width="12"/>
    <col collapsed="false" customWidth="true" hidden="false" outlineLevel="0" max="6" min="6" style="0" width="15"/>
  </cols>
  <sheetData>
    <row r="1" customFormat="false" ht="30" hidden="false" customHeight="true" outlineLevel="0" collapsed="false">
      <c r="A1" s="1" t="s">
        <v>0</v>
      </c>
      <c r="B1" s="1" t="s">
        <v>1</v>
      </c>
      <c r="C1" s="1" t="s">
        <v>2</v>
      </c>
      <c r="D1" s="1" t="s">
        <v>3</v>
      </c>
      <c r="E1" s="1" t="s">
        <v>4</v>
      </c>
      <c r="F1" s="1" t="s">
        <v>5</v>
      </c>
    </row>
    <row r="2" customFormat="false" ht="15" hidden="false" customHeight="false" outlineLevel="0" collapsed="false">
      <c r="A2" s="2" t="s">
        <v>6</v>
      </c>
      <c r="B2" s="2" t="s">
        <v>7</v>
      </c>
      <c r="C2" s="3" t="s">
        <v>8</v>
      </c>
      <c r="D2" s="4" t="n">
        <f aca="false">SUMPRODUCT((Promenade!$B$2:$B$200=$A2)*(Promenade!$D$2:$D$200=$C2),Promenade!$E$2:$E$200)</f>
        <v>0</v>
      </c>
      <c r="E2" s="4" t="n">
        <f aca="false">SUMPRODUCT((Bedaya!$B$2:$B$200=$A2)*(Bedaya!$D$2:$D$200=$C2),Bedaya!$E$2:$E$200)</f>
        <v>1</v>
      </c>
      <c r="F2" s="5" t="n">
        <f aca="false">SUM(D2:E2)</f>
        <v>1</v>
      </c>
    </row>
    <row r="3" customFormat="false" ht="15" hidden="false" customHeight="false" outlineLevel="0" collapsed="false">
      <c r="A3" s="2" t="s">
        <v>6</v>
      </c>
      <c r="B3" s="2" t="s">
        <v>7</v>
      </c>
      <c r="C3" s="3" t="s">
        <v>9</v>
      </c>
      <c r="D3" s="4" t="n">
        <f aca="false">SUMPRODUCT((Promenade!$B$2:$B$200=$A3)*(Promenade!$D$2:$D$200=$C3),Promenade!$E$2:$E$200)</f>
        <v>0</v>
      </c>
      <c r="E3" s="4" t="n">
        <f aca="false">SUMPRODUCT((Bedaya!$B$2:$B$200=$A3)*(Bedaya!$D$2:$D$200=$C3),Bedaya!$E$2:$E$200)</f>
        <v>2</v>
      </c>
      <c r="F3" s="5" t="n">
        <f aca="false">SUM(D3:E3)</f>
        <v>2</v>
      </c>
    </row>
    <row r="4" customFormat="false" ht="15" hidden="false" customHeight="false" outlineLevel="0" collapsed="false">
      <c r="A4" s="2" t="s">
        <v>10</v>
      </c>
      <c r="B4" s="2" t="s">
        <v>7</v>
      </c>
      <c r="C4" s="3" t="s">
        <v>8</v>
      </c>
      <c r="D4" s="4" t="n">
        <f aca="false">SUMPRODUCT((Promenade!$B$2:$B$200=$A4)*(Promenade!$D$2:$D$200=$C4),Promenade!$E$2:$E$200)</f>
        <v>0</v>
      </c>
      <c r="E4" s="4" t="n">
        <f aca="false">SUMPRODUCT((Bedaya!$B$2:$B$200=$A4)*(Bedaya!$D$2:$D$200=$C4),Bedaya!$E$2:$E$200)</f>
        <v>2</v>
      </c>
      <c r="F4" s="5" t="n">
        <f aca="false">SUM(D4:E4)</f>
        <v>2</v>
      </c>
    </row>
    <row r="5" customFormat="false" ht="15" hidden="false" customHeight="false" outlineLevel="0" collapsed="false">
      <c r="A5" s="2" t="s">
        <v>10</v>
      </c>
      <c r="B5" s="2" t="s">
        <v>7</v>
      </c>
      <c r="C5" s="3" t="s">
        <v>11</v>
      </c>
      <c r="D5" s="4" t="n">
        <f aca="false">SUMPRODUCT((Promenade!$B$2:$B$200=$A5)*(Promenade!$D$2:$D$200=$C5),Promenade!$E$2:$E$200)</f>
        <v>0</v>
      </c>
      <c r="E5" s="4" t="n">
        <f aca="false">SUMPRODUCT((Bedaya!$B$2:$B$200=$A5)*(Bedaya!$D$2:$D$200=$C5),Bedaya!$E$2:$E$200)</f>
        <v>12</v>
      </c>
      <c r="F5" s="5" t="n">
        <f aca="false">SUM(D5:E5)</f>
        <v>12</v>
      </c>
    </row>
    <row r="6" customFormat="false" ht="15" hidden="false" customHeight="false" outlineLevel="0" collapsed="false">
      <c r="A6" s="2" t="s">
        <v>12</v>
      </c>
      <c r="B6" s="2" t="s">
        <v>7</v>
      </c>
      <c r="C6" s="3" t="s">
        <v>13</v>
      </c>
      <c r="D6" s="4" t="n">
        <f aca="false">SUMPRODUCT((Promenade!$B$2:$B$200=$A6)*(Promenade!$D$2:$D$200=$C6),Promenade!$E$2:$E$200)</f>
        <v>0</v>
      </c>
      <c r="E6" s="4" t="n">
        <f aca="false">SUMPRODUCT((Bedaya!$B$2:$B$200=$A6)*(Bedaya!$D$2:$D$200=$C6),Bedaya!$E$2:$E$200)</f>
        <v>7</v>
      </c>
      <c r="F6" s="5" t="n">
        <f aca="false">SUM(D6:E6)</f>
        <v>7</v>
      </c>
    </row>
    <row r="7" customFormat="false" ht="15" hidden="false" customHeight="false" outlineLevel="0" collapsed="false">
      <c r="A7" s="2" t="s">
        <v>12</v>
      </c>
      <c r="B7" s="2" t="s">
        <v>7</v>
      </c>
      <c r="C7" s="3" t="s">
        <v>14</v>
      </c>
      <c r="D7" s="4" t="n">
        <f aca="false">SUMPRODUCT((Promenade!$B$2:$B$200=$A7)*(Promenade!$D$2:$D$200=$C7),Promenade!$E$2:$E$200)</f>
        <v>0</v>
      </c>
      <c r="E7" s="4" t="n">
        <f aca="false">SUMPRODUCT((Bedaya!$B$2:$B$200=$A7)*(Bedaya!$D$2:$D$200=$C7),Bedaya!$E$2:$E$200)</f>
        <v>9</v>
      </c>
      <c r="F7" s="5" t="n">
        <f aca="false">SUM(D7:E7)</f>
        <v>9</v>
      </c>
    </row>
    <row r="8" customFormat="false" ht="15" hidden="false" customHeight="false" outlineLevel="0" collapsed="false">
      <c r="A8" s="2" t="s">
        <v>15</v>
      </c>
      <c r="B8" s="2" t="s">
        <v>7</v>
      </c>
      <c r="C8" s="3" t="s">
        <v>16</v>
      </c>
      <c r="D8" s="4" t="n">
        <f aca="false">SUMPRODUCT((Promenade!$B$2:$B$200=$A8)*(Promenade!$D$2:$D$200=$C8),Promenade!$E$2:$E$200)</f>
        <v>2</v>
      </c>
      <c r="E8" s="4" t="n">
        <f aca="false">SUMPRODUCT((Bedaya!$B$2:$B$200=$A8)*(Bedaya!$D$2:$D$200=$C8),Bedaya!$E$2:$E$200)</f>
        <v>-1</v>
      </c>
      <c r="F8" s="5" t="n">
        <f aca="false">SUM(D8:E8)</f>
        <v>1</v>
      </c>
    </row>
    <row r="9" customFormat="false" ht="15" hidden="false" customHeight="false" outlineLevel="0" collapsed="false">
      <c r="A9" s="2" t="s">
        <v>15</v>
      </c>
      <c r="B9" s="2" t="s">
        <v>7</v>
      </c>
      <c r="C9" s="3" t="s">
        <v>17</v>
      </c>
      <c r="D9" s="4" t="n">
        <f aca="false">SUMPRODUCT((Promenade!$B$2:$B$200=$A9)*(Promenade!$D$2:$D$200=$C9),Promenade!$E$2:$E$200)</f>
        <v>4</v>
      </c>
      <c r="E9" s="4" t="n">
        <f aca="false">SUMPRODUCT((Bedaya!$B$2:$B$200=$A9)*(Bedaya!$D$2:$D$200=$C9),Bedaya!$E$2:$E$200)</f>
        <v>0</v>
      </c>
      <c r="F9" s="5" t="n">
        <f aca="false">SUM(D9:E9)</f>
        <v>4</v>
      </c>
    </row>
    <row r="10" customFormat="false" ht="15" hidden="false" customHeight="false" outlineLevel="0" collapsed="false">
      <c r="A10" s="2" t="s">
        <v>15</v>
      </c>
      <c r="B10" s="2" t="s">
        <v>7</v>
      </c>
      <c r="C10" s="3" t="s">
        <v>13</v>
      </c>
      <c r="D10" s="4" t="n">
        <f aca="false">SUMPRODUCT((Promenade!$B$2:$B$200=$A10)*(Promenade!$D$2:$D$200=$C10),Promenade!$E$2:$E$200)</f>
        <v>2</v>
      </c>
      <c r="E10" s="4" t="n">
        <f aca="false">SUMPRODUCT((Bedaya!$B$2:$B$200=$A10)*(Bedaya!$D$2:$D$200=$C10),Bedaya!$E$2:$E$200)</f>
        <v>-1</v>
      </c>
      <c r="F10" s="5" t="n">
        <f aca="false">SUM(D10:E10)</f>
        <v>1</v>
      </c>
    </row>
    <row r="11" customFormat="false" ht="15" hidden="false" customHeight="false" outlineLevel="0" collapsed="false">
      <c r="A11" s="2" t="s">
        <v>15</v>
      </c>
      <c r="B11" s="2" t="s">
        <v>7</v>
      </c>
      <c r="C11" s="3" t="s">
        <v>14</v>
      </c>
      <c r="D11" s="4" t="n">
        <f aca="false">SUMPRODUCT((Promenade!$B$2:$B$200=$A11)*(Promenade!$D$2:$D$200=$C11),Promenade!$E$2:$E$200)</f>
        <v>1</v>
      </c>
      <c r="E11" s="4" t="n">
        <f aca="false">SUMPRODUCT((Bedaya!$B$2:$B$200=$A11)*(Bedaya!$D$2:$D$200=$C11),Bedaya!$E$2:$E$200)</f>
        <v>0</v>
      </c>
      <c r="F11" s="5" t="n">
        <f aca="false">SUM(D11:E11)</f>
        <v>1</v>
      </c>
    </row>
    <row r="12" customFormat="false" ht="15" hidden="false" customHeight="false" outlineLevel="0" collapsed="false">
      <c r="A12" s="2" t="s">
        <v>15</v>
      </c>
      <c r="B12" s="2" t="s">
        <v>7</v>
      </c>
      <c r="C12" s="3" t="s">
        <v>9</v>
      </c>
      <c r="D12" s="4" t="n">
        <f aca="false">SUMPRODUCT((Promenade!$B$2:$B$200=$A12)*(Promenade!$D$2:$D$200=$C12),Promenade!$E$2:$E$200)</f>
        <v>2</v>
      </c>
      <c r="E12" s="4" t="n">
        <f aca="false">SUMPRODUCT((Bedaya!$B$2:$B$200=$A12)*(Bedaya!$D$2:$D$200=$C12),Bedaya!$E$2:$E$200)</f>
        <v>0</v>
      </c>
      <c r="F12" s="5" t="n">
        <f aca="false">SUM(D12:E12)</f>
        <v>2</v>
      </c>
    </row>
    <row r="13" customFormat="false" ht="15" hidden="false" customHeight="false" outlineLevel="0" collapsed="false">
      <c r="A13" s="2" t="s">
        <v>18</v>
      </c>
      <c r="B13" s="2" t="s">
        <v>7</v>
      </c>
      <c r="C13" s="3" t="s">
        <v>19</v>
      </c>
      <c r="D13" s="4" t="n">
        <f aca="false">SUMPRODUCT((Promenade!$B$2:$B$200=$A13)*(Promenade!$D$2:$D$200=$C13),Promenade!$E$2:$E$200)</f>
        <v>1</v>
      </c>
      <c r="E13" s="4" t="n">
        <f aca="false">SUMPRODUCT((Bedaya!$B$2:$B$200=$A13)*(Bedaya!$D$2:$D$200=$C13),Bedaya!$E$2:$E$200)</f>
        <v>0</v>
      </c>
      <c r="F13" s="5" t="n">
        <f aca="false">SUM(D13:E13)</f>
        <v>1</v>
      </c>
    </row>
    <row r="14" customFormat="false" ht="15" hidden="false" customHeight="false" outlineLevel="0" collapsed="false">
      <c r="A14" s="2" t="s">
        <v>18</v>
      </c>
      <c r="B14" s="2" t="s">
        <v>7</v>
      </c>
      <c r="C14" s="3" t="s">
        <v>20</v>
      </c>
      <c r="D14" s="4" t="n">
        <f aca="false">SUMPRODUCT((Promenade!$B$2:$B$200=$A14)*(Promenade!$D$2:$D$200=$C14),Promenade!$E$2:$E$200)</f>
        <v>2</v>
      </c>
      <c r="E14" s="4" t="n">
        <f aca="false">SUMPRODUCT((Bedaya!$B$2:$B$200=$A14)*(Bedaya!$D$2:$D$200=$C14),Bedaya!$E$2:$E$200)</f>
        <v>0</v>
      </c>
      <c r="F14" s="5" t="n">
        <f aca="false">SUM(D14:E14)</f>
        <v>2</v>
      </c>
    </row>
    <row r="15" customFormat="false" ht="15" hidden="false" customHeight="false" outlineLevel="0" collapsed="false">
      <c r="A15" s="2" t="s">
        <v>18</v>
      </c>
      <c r="B15" s="2" t="s">
        <v>7</v>
      </c>
      <c r="C15" s="3" t="s">
        <v>21</v>
      </c>
      <c r="D15" s="4" t="n">
        <f aca="false">SUMPRODUCT((Promenade!$B$2:$B$200=$A15)*(Promenade!$D$2:$D$200=$C15),Promenade!$E$2:$E$200)</f>
        <v>2</v>
      </c>
      <c r="E15" s="4" t="n">
        <f aca="false">SUMPRODUCT((Bedaya!$B$2:$B$200=$A15)*(Bedaya!$D$2:$D$200=$C15),Bedaya!$E$2:$E$200)</f>
        <v>1</v>
      </c>
      <c r="F15" s="5" t="n">
        <f aca="false">SUM(D15:E15)</f>
        <v>3</v>
      </c>
    </row>
    <row r="16" customFormat="false" ht="15" hidden="false" customHeight="false" outlineLevel="0" collapsed="false">
      <c r="A16" s="2" t="s">
        <v>18</v>
      </c>
      <c r="B16" s="2" t="s">
        <v>7</v>
      </c>
      <c r="C16" s="3" t="s">
        <v>22</v>
      </c>
      <c r="D16" s="4" t="n">
        <f aca="false">SUMPRODUCT((Promenade!$B$2:$B$200=$A16)*(Promenade!$D$2:$D$200=$C16),Promenade!$E$2:$E$200)</f>
        <v>2</v>
      </c>
      <c r="E16" s="4" t="n">
        <f aca="false">SUMPRODUCT((Bedaya!$B$2:$B$200=$A16)*(Bedaya!$D$2:$D$200=$C16),Bedaya!$E$2:$E$200)</f>
        <v>-1</v>
      </c>
      <c r="F16" s="5" t="n">
        <f aca="false">SUM(D16:E16)</f>
        <v>1</v>
      </c>
    </row>
    <row r="17" customFormat="false" ht="15" hidden="false" customHeight="false" outlineLevel="0" collapsed="false">
      <c r="A17" s="2" t="s">
        <v>18</v>
      </c>
      <c r="B17" s="2" t="s">
        <v>7</v>
      </c>
      <c r="C17" s="3" t="s">
        <v>23</v>
      </c>
      <c r="D17" s="4" t="n">
        <f aca="false">SUMPRODUCT((Promenade!$B$2:$B$200=$A17)*(Promenade!$D$2:$D$200=$C17),Promenade!$E$2:$E$200)</f>
        <v>0</v>
      </c>
      <c r="E17" s="4" t="n">
        <f aca="false">SUMPRODUCT((Bedaya!$B$2:$B$200=$A17)*(Bedaya!$D$2:$D$200=$C17),Bedaya!$E$2:$E$200)</f>
        <v>3</v>
      </c>
      <c r="F17" s="5" t="n">
        <f aca="false">SUM(D17:E17)</f>
        <v>3</v>
      </c>
    </row>
    <row r="18" customFormat="false" ht="15" hidden="false" customHeight="false" outlineLevel="0" collapsed="false">
      <c r="A18" s="2" t="s">
        <v>18</v>
      </c>
      <c r="B18" s="2" t="s">
        <v>7</v>
      </c>
      <c r="C18" s="3" t="s">
        <v>24</v>
      </c>
      <c r="D18" s="4" t="n">
        <f aca="false">SUMPRODUCT((Promenade!$B$2:$B$200=$A18)*(Promenade!$D$2:$D$200=$C18),Promenade!$E$2:$E$200)</f>
        <v>0</v>
      </c>
      <c r="E18" s="4" t="n">
        <f aca="false">SUMPRODUCT((Bedaya!$B$2:$B$200=$A18)*(Bedaya!$D$2:$D$200=$C18),Bedaya!$E$2:$E$200)</f>
        <v>2</v>
      </c>
      <c r="F18" s="5" t="n">
        <f aca="false">SUM(D18:E18)</f>
        <v>2</v>
      </c>
    </row>
    <row r="19" customFormat="false" ht="15" hidden="false" customHeight="false" outlineLevel="0" collapsed="false">
      <c r="A19" s="2" t="s">
        <v>25</v>
      </c>
      <c r="B19" s="2" t="s">
        <v>7</v>
      </c>
      <c r="C19" s="3" t="s">
        <v>21</v>
      </c>
      <c r="D19" s="4" t="n">
        <f aca="false">SUMPRODUCT((Promenade!$B$2:$B$200=$A19)*(Promenade!$D$2:$D$200=$C19),Promenade!$E$2:$E$200)</f>
        <v>0</v>
      </c>
      <c r="E19" s="4" t="n">
        <f aca="false">SUMPRODUCT((Bedaya!$B$2:$B$200=$A19)*(Bedaya!$D$2:$D$200=$C19),Bedaya!$E$2:$E$200)</f>
        <v>3</v>
      </c>
      <c r="F19" s="5" t="n">
        <f aca="false">SUM(D19:E19)</f>
        <v>3</v>
      </c>
    </row>
    <row r="20" customFormat="false" ht="15" hidden="false" customHeight="false" outlineLevel="0" collapsed="false">
      <c r="A20" s="2" t="s">
        <v>26</v>
      </c>
      <c r="B20" s="2" t="s">
        <v>7</v>
      </c>
      <c r="C20" s="3" t="s">
        <v>27</v>
      </c>
      <c r="D20" s="4" t="n">
        <f aca="false">SUMPRODUCT((Promenade!$B$2:$B$200=$A20)*(Promenade!$D$2:$D$200=$C20),Promenade!$E$2:$E$200)</f>
        <v>1</v>
      </c>
      <c r="E20" s="4" t="n">
        <f aca="false">SUMPRODUCT((Bedaya!$B$2:$B$200=$A20)*(Bedaya!$D$2:$D$200=$C20),Bedaya!$E$2:$E$200)</f>
        <v>0</v>
      </c>
      <c r="F20" s="5" t="n">
        <f aca="false">SUM(D20:E20)</f>
        <v>1</v>
      </c>
    </row>
    <row r="21" customFormat="false" ht="15" hidden="false" customHeight="false" outlineLevel="0" collapsed="false">
      <c r="A21" s="2" t="s">
        <v>28</v>
      </c>
      <c r="B21" s="2" t="s">
        <v>7</v>
      </c>
      <c r="C21" s="3" t="s">
        <v>20</v>
      </c>
      <c r="D21" s="4" t="n">
        <f aca="false">SUMPRODUCT((Promenade!$B$2:$B$200=$A21)*(Promenade!$D$2:$D$200=$C21),Promenade!$E$2:$E$200)</f>
        <v>3</v>
      </c>
      <c r="E21" s="4" t="n">
        <f aca="false">SUMPRODUCT((Bedaya!$B$2:$B$200=$A21)*(Bedaya!$D$2:$D$200=$C21),Bedaya!$E$2:$E$200)</f>
        <v>0</v>
      </c>
      <c r="F21" s="5" t="n">
        <f aca="false">SUM(D21:E21)</f>
        <v>3</v>
      </c>
    </row>
    <row r="22" customFormat="false" ht="15" hidden="false" customHeight="false" outlineLevel="0" collapsed="false">
      <c r="A22" s="2" t="s">
        <v>28</v>
      </c>
      <c r="B22" s="2" t="s">
        <v>7</v>
      </c>
      <c r="C22" s="3" t="s">
        <v>21</v>
      </c>
      <c r="D22" s="4" t="n">
        <f aca="false">SUMPRODUCT((Promenade!$B$2:$B$200=$A22)*(Promenade!$D$2:$D$200=$C22),Promenade!$E$2:$E$200)</f>
        <v>1</v>
      </c>
      <c r="E22" s="4" t="n">
        <f aca="false">SUMPRODUCT((Bedaya!$B$2:$B$200=$A22)*(Bedaya!$D$2:$D$200=$C22),Bedaya!$E$2:$E$200)</f>
        <v>0</v>
      </c>
      <c r="F22" s="5" t="n">
        <f aca="false">SUM(D22:E22)</f>
        <v>1</v>
      </c>
    </row>
    <row r="23" customFormat="false" ht="15" hidden="false" customHeight="false" outlineLevel="0" collapsed="false">
      <c r="A23" s="2" t="s">
        <v>29</v>
      </c>
      <c r="B23" s="2" t="s">
        <v>7</v>
      </c>
      <c r="C23" s="3" t="s">
        <v>17</v>
      </c>
      <c r="D23" s="4" t="n">
        <f aca="false">SUMPRODUCT((Promenade!$B$2:$B$200=$A23)*(Promenade!$D$2:$D$200=$C23),Promenade!$E$2:$E$200)</f>
        <v>3</v>
      </c>
      <c r="E23" s="4" t="n">
        <f aca="false">SUMPRODUCT((Bedaya!$B$2:$B$200=$A23)*(Bedaya!$D$2:$D$200=$C23),Bedaya!$E$2:$E$200)</f>
        <v>0</v>
      </c>
      <c r="F23" s="5" t="n">
        <f aca="false">SUM(D23:E23)</f>
        <v>3</v>
      </c>
    </row>
    <row r="24" customFormat="false" ht="15" hidden="false" customHeight="false" outlineLevel="0" collapsed="false">
      <c r="A24" s="2" t="s">
        <v>30</v>
      </c>
      <c r="B24" s="2" t="s">
        <v>7</v>
      </c>
      <c r="C24" s="3" t="s">
        <v>13</v>
      </c>
      <c r="D24" s="4" t="n">
        <f aca="false">SUMPRODUCT((Promenade!$B$2:$B$200=$A24)*(Promenade!$D$2:$D$200=$C24),Promenade!$E$2:$E$200)</f>
        <v>23</v>
      </c>
      <c r="E24" s="4" t="n">
        <f aca="false">SUMPRODUCT((Bedaya!$B$2:$B$200=$A24)*(Bedaya!$D$2:$D$200=$C24),Bedaya!$E$2:$E$200)</f>
        <v>0</v>
      </c>
      <c r="F24" s="5" t="n">
        <f aca="false">SUM(D24:E24)</f>
        <v>23</v>
      </c>
    </row>
    <row r="25" customFormat="false" ht="15" hidden="false" customHeight="false" outlineLevel="0" collapsed="false">
      <c r="A25" s="2" t="s">
        <v>30</v>
      </c>
      <c r="B25" s="2" t="s">
        <v>7</v>
      </c>
      <c r="C25" s="3" t="s">
        <v>17</v>
      </c>
      <c r="D25" s="4" t="n">
        <f aca="false">SUMPRODUCT((Promenade!$B$2:$B$200=$A25)*(Promenade!$D$2:$D$200=$C25),Promenade!$E$2:$E$200)</f>
        <v>0</v>
      </c>
      <c r="E25" s="4" t="n">
        <f aca="false">SUMPRODUCT((Bedaya!$B$2:$B$200=$A25)*(Bedaya!$D$2:$D$200=$C25),Bedaya!$E$2:$E$200)</f>
        <v>0</v>
      </c>
      <c r="F25" s="5" t="n">
        <f aca="false">SUM(D25:E25)</f>
        <v>0</v>
      </c>
    </row>
    <row r="26" customFormat="false" ht="15" hidden="false" customHeight="false" outlineLevel="0" collapsed="false">
      <c r="A26" s="2" t="s">
        <v>30</v>
      </c>
      <c r="B26" s="2" t="s">
        <v>7</v>
      </c>
      <c r="C26" s="3" t="s">
        <v>14</v>
      </c>
      <c r="D26" s="4" t="n">
        <f aca="false">SUMPRODUCT((Promenade!$B$2:$B$200=$A26)*(Promenade!$D$2:$D$200=$C26),Promenade!$E$2:$E$200)</f>
        <v>0</v>
      </c>
      <c r="E26" s="4" t="n">
        <f aca="false">SUMPRODUCT((Bedaya!$B$2:$B$200=$A26)*(Bedaya!$D$2:$D$200=$C26),Bedaya!$E$2:$E$200)</f>
        <v>0</v>
      </c>
      <c r="F26" s="5" t="n">
        <f aca="false">SUM(D26:E26)</f>
        <v>0</v>
      </c>
    </row>
    <row r="27" customFormat="false" ht="15" hidden="false" customHeight="false" outlineLevel="0" collapsed="false">
      <c r="A27" s="2" t="s">
        <v>31</v>
      </c>
      <c r="B27" s="2" t="s">
        <v>7</v>
      </c>
      <c r="C27" s="3" t="s">
        <v>17</v>
      </c>
      <c r="D27" s="4" t="n">
        <f aca="false">SUMPRODUCT((Promenade!$B$2:$B$200=$A27)*(Promenade!$D$2:$D$200=$C27),Promenade!$E$2:$E$200)</f>
        <v>3</v>
      </c>
      <c r="E27" s="4" t="n">
        <f aca="false">SUMPRODUCT((Bedaya!$B$2:$B$200=$A27)*(Bedaya!$D$2:$D$200=$C27),Bedaya!$E$2:$E$200)</f>
        <v>0</v>
      </c>
      <c r="F27" s="5" t="n">
        <f aca="false">SUM(D27:E27)</f>
        <v>3</v>
      </c>
    </row>
    <row r="28" customFormat="false" ht="15" hidden="false" customHeight="false" outlineLevel="0" collapsed="false">
      <c r="A28" s="2" t="s">
        <v>12</v>
      </c>
      <c r="B28" s="2" t="s">
        <v>7</v>
      </c>
      <c r="C28" s="3" t="s">
        <v>32</v>
      </c>
      <c r="D28" s="4" t="n">
        <f aca="false">SUMPRODUCT((Promenade!$B$2:$B$200=$A28)*(Promenade!$D$2:$D$200=$C28),Promenade!$E$2:$E$200)</f>
        <v>3</v>
      </c>
      <c r="E28" s="4" t="n">
        <f aca="false">SUMPRODUCT((Bedaya!$B$2:$B$200=$A28)*(Bedaya!$D$2:$D$200=$C28),Bedaya!$E$2:$E$200)</f>
        <v>0</v>
      </c>
      <c r="F28" s="5" t="n">
        <f aca="false">SUM(D28:E28)</f>
        <v>3</v>
      </c>
    </row>
    <row r="29" customFormat="false" ht="15" hidden="false" customHeight="false" outlineLevel="0" collapsed="false">
      <c r="A29" s="2" t="s">
        <v>33</v>
      </c>
      <c r="B29" s="2" t="s">
        <v>7</v>
      </c>
      <c r="C29" s="3" t="s">
        <v>16</v>
      </c>
      <c r="D29" s="4" t="n">
        <f aca="false">SUMPRODUCT((Promenade!$B$2:$B$200=$A29)*(Promenade!$D$2:$D$200=$C29),Promenade!$E$2:$E$200)</f>
        <v>1</v>
      </c>
      <c r="E29" s="4" t="n">
        <f aca="false">SUMPRODUCT((Bedaya!$B$2:$B$200=$A29)*(Bedaya!$D$2:$D$200=$C29),Bedaya!$E$2:$E$200)</f>
        <v>0</v>
      </c>
      <c r="F29" s="5" t="n">
        <f aca="false">SUM(D29:E29)</f>
        <v>1</v>
      </c>
    </row>
    <row r="30" customFormat="false" ht="15" hidden="false" customHeight="false" outlineLevel="0" collapsed="false">
      <c r="A30" s="2" t="s">
        <v>33</v>
      </c>
      <c r="B30" s="2" t="s">
        <v>7</v>
      </c>
      <c r="C30" s="3" t="s">
        <v>13</v>
      </c>
      <c r="D30" s="4" t="n">
        <f aca="false">SUMPRODUCT((Promenade!$B$2:$B$200=$A30)*(Promenade!$D$2:$D$200=$C30),Promenade!$E$2:$E$200)</f>
        <v>2</v>
      </c>
      <c r="E30" s="4" t="n">
        <f aca="false">SUMPRODUCT((Bedaya!$B$2:$B$200=$A30)*(Bedaya!$D$2:$D$200=$C30),Bedaya!$E$2:$E$200)</f>
        <v>0</v>
      </c>
      <c r="F30" s="5" t="n">
        <f aca="false">SUM(D30:E30)</f>
        <v>2</v>
      </c>
    </row>
    <row r="31" customFormat="false" ht="15" hidden="false" customHeight="false" outlineLevel="0" collapsed="false">
      <c r="A31" s="2" t="s">
        <v>33</v>
      </c>
      <c r="B31" s="2" t="s">
        <v>7</v>
      </c>
      <c r="C31" s="3" t="s">
        <v>14</v>
      </c>
      <c r="D31" s="4" t="n">
        <f aca="false">SUMPRODUCT((Promenade!$B$2:$B$200=$A31)*(Promenade!$D$2:$D$200=$C31),Promenade!$E$2:$E$200)</f>
        <v>2</v>
      </c>
      <c r="E31" s="4" t="n">
        <f aca="false">SUMPRODUCT((Bedaya!$B$2:$B$200=$A31)*(Bedaya!$D$2:$D$200=$C31),Bedaya!$E$2:$E$200)</f>
        <v>0</v>
      </c>
      <c r="F31" s="5" t="n">
        <f aca="false">SUM(D31:E31)</f>
        <v>2</v>
      </c>
    </row>
    <row r="32" customFormat="false" ht="15" hidden="false" customHeight="false" outlineLevel="0" collapsed="false">
      <c r="A32" s="2" t="s">
        <v>33</v>
      </c>
      <c r="B32" s="2" t="s">
        <v>7</v>
      </c>
      <c r="C32" s="3" t="s">
        <v>17</v>
      </c>
      <c r="D32" s="4" t="n">
        <f aca="false">SUMPRODUCT((Promenade!$B$2:$B$200=$A32)*(Promenade!$D$2:$D$200=$C32),Promenade!$E$2:$E$200)</f>
        <v>0</v>
      </c>
      <c r="E32" s="4" t="n">
        <f aca="false">SUMPRODUCT((Bedaya!$B$2:$B$200=$A32)*(Bedaya!$D$2:$D$200=$C32),Bedaya!$E$2:$E$200)</f>
        <v>0</v>
      </c>
      <c r="F32" s="5" t="n">
        <f aca="false">SUM(D32:E32)</f>
        <v>0</v>
      </c>
    </row>
    <row r="33" customFormat="false" ht="15" hidden="false" customHeight="false" outlineLevel="0" collapsed="false">
      <c r="A33" s="2" t="s">
        <v>34</v>
      </c>
      <c r="B33" s="2" t="s">
        <v>35</v>
      </c>
      <c r="C33" s="3" t="s">
        <v>36</v>
      </c>
      <c r="D33" s="4" t="n">
        <f aca="false">SUMPRODUCT((Promenade!$B$2:$B$200=$A33)*(Promenade!$D$2:$D$200=$C33),Promenade!$E$2:$E$200)</f>
        <v>0</v>
      </c>
      <c r="E33" s="4" t="n">
        <f aca="false">SUMPRODUCT((Bedaya!$B$2:$B$200=$A33)*(Bedaya!$D$2:$D$200=$C33),Bedaya!$E$2:$E$200)</f>
        <v>2</v>
      </c>
      <c r="F33" s="5" t="n">
        <f aca="false">SUM(D33:E33)</f>
        <v>2</v>
      </c>
    </row>
    <row r="34" customFormat="false" ht="15" hidden="false" customHeight="false" outlineLevel="0" collapsed="false">
      <c r="A34" s="2" t="s">
        <v>34</v>
      </c>
      <c r="B34" s="2" t="s">
        <v>35</v>
      </c>
      <c r="C34" s="3" t="s">
        <v>37</v>
      </c>
      <c r="D34" s="4" t="n">
        <f aca="false">SUMPRODUCT((Promenade!$B$2:$B$200=$A34)*(Promenade!$D$2:$D$200=$C34),Promenade!$E$2:$E$200)</f>
        <v>0</v>
      </c>
      <c r="E34" s="4" t="n">
        <f aca="false">SUMPRODUCT((Bedaya!$B$2:$B$200=$A34)*(Bedaya!$D$2:$D$200=$C34),Bedaya!$E$2:$E$200)</f>
        <v>2</v>
      </c>
      <c r="F34" s="5" t="n">
        <f aca="false">SUM(D34:E34)</f>
        <v>2</v>
      </c>
    </row>
    <row r="35" customFormat="false" ht="15" hidden="false" customHeight="false" outlineLevel="0" collapsed="false">
      <c r="A35" s="2" t="s">
        <v>34</v>
      </c>
      <c r="B35" s="2" t="s">
        <v>35</v>
      </c>
      <c r="C35" s="3" t="s">
        <v>38</v>
      </c>
      <c r="D35" s="4" t="n">
        <f aca="false">SUMPRODUCT((Promenade!$B$2:$B$200=$A35)*(Promenade!$D$2:$D$200=$C35),Promenade!$E$2:$E$200)</f>
        <v>0</v>
      </c>
      <c r="E35" s="4" t="n">
        <f aca="false">SUMPRODUCT((Bedaya!$B$2:$B$200=$A35)*(Bedaya!$D$2:$D$200=$C35),Bedaya!$E$2:$E$200)</f>
        <v>2</v>
      </c>
      <c r="F35" s="5" t="n">
        <f aca="false">SUM(D35:E35)</f>
        <v>2</v>
      </c>
    </row>
    <row r="36" customFormat="false" ht="15" hidden="false" customHeight="false" outlineLevel="0" collapsed="false">
      <c r="A36" s="2" t="s">
        <v>34</v>
      </c>
      <c r="B36" s="2" t="s">
        <v>35</v>
      </c>
      <c r="C36" s="3" t="s">
        <v>39</v>
      </c>
      <c r="D36" s="4" t="n">
        <f aca="false">SUMPRODUCT((Promenade!$B$2:$B$200=$A36)*(Promenade!$D$2:$D$200=$C36),Promenade!$E$2:$E$200)</f>
        <v>0</v>
      </c>
      <c r="E36" s="4" t="n">
        <f aca="false">SUMPRODUCT((Bedaya!$B$2:$B$200=$A36)*(Bedaya!$D$2:$D$200=$C36),Bedaya!$E$2:$E$200)</f>
        <v>2</v>
      </c>
      <c r="F36" s="5" t="n">
        <f aca="false">SUM(D36:E36)</f>
        <v>2</v>
      </c>
    </row>
    <row r="37" customFormat="false" ht="15" hidden="false" customHeight="false" outlineLevel="0" collapsed="false">
      <c r="A37" s="2" t="s">
        <v>34</v>
      </c>
      <c r="B37" s="2" t="s">
        <v>35</v>
      </c>
      <c r="C37" s="3" t="s">
        <v>40</v>
      </c>
      <c r="D37" s="4" t="n">
        <f aca="false">SUMPRODUCT((Promenade!$B$2:$B$200=$A37)*(Promenade!$D$2:$D$200=$C37),Promenade!$E$2:$E$200)</f>
        <v>0</v>
      </c>
      <c r="E37" s="4" t="n">
        <f aca="false">SUMPRODUCT((Bedaya!$B$2:$B$200=$A37)*(Bedaya!$D$2:$D$200=$C37),Bedaya!$E$2:$E$200)</f>
        <v>5</v>
      </c>
      <c r="F37" s="5" t="n">
        <f aca="false">SUM(D37:E37)</f>
        <v>5</v>
      </c>
    </row>
    <row r="38" customFormat="false" ht="15" hidden="false" customHeight="false" outlineLevel="0" collapsed="false">
      <c r="A38" s="2" t="s">
        <v>34</v>
      </c>
      <c r="B38" s="2" t="s">
        <v>35</v>
      </c>
      <c r="C38" s="3" t="s">
        <v>41</v>
      </c>
      <c r="D38" s="4" t="n">
        <f aca="false">SUMPRODUCT((Promenade!$B$2:$B$200=$A38)*(Promenade!$D$2:$D$200=$C38),Promenade!$E$2:$E$200)</f>
        <v>0</v>
      </c>
      <c r="E38" s="4" t="n">
        <f aca="false">SUMPRODUCT((Bedaya!$B$2:$B$200=$A38)*(Bedaya!$D$2:$D$200=$C38),Bedaya!$E$2:$E$200)</f>
        <v>3</v>
      </c>
      <c r="F38" s="5" t="n">
        <f aca="false">SUM(D38:E38)</f>
        <v>3</v>
      </c>
    </row>
    <row r="39" customFormat="false" ht="15" hidden="false" customHeight="false" outlineLevel="0" collapsed="false">
      <c r="A39" s="2" t="s">
        <v>34</v>
      </c>
      <c r="B39" s="2" t="s">
        <v>35</v>
      </c>
      <c r="C39" s="3" t="s">
        <v>42</v>
      </c>
      <c r="D39" s="4" t="n">
        <f aca="false">SUMPRODUCT((Promenade!$B$2:$B$200=$A39)*(Promenade!$D$2:$D$200=$C39),Promenade!$E$2:$E$200)</f>
        <v>0</v>
      </c>
      <c r="E39" s="4" t="n">
        <f aca="false">SUMPRODUCT((Bedaya!$B$2:$B$200=$A39)*(Bedaya!$D$2:$D$200=$C39),Bedaya!$E$2:$E$200)</f>
        <v>3</v>
      </c>
      <c r="F39" s="5" t="n">
        <f aca="false">SUM(D39:E39)</f>
        <v>3</v>
      </c>
    </row>
    <row r="40" customFormat="false" ht="15" hidden="false" customHeight="false" outlineLevel="0" collapsed="false">
      <c r="A40" s="2" t="s">
        <v>34</v>
      </c>
      <c r="B40" s="2" t="s">
        <v>35</v>
      </c>
      <c r="C40" s="3" t="s">
        <v>43</v>
      </c>
      <c r="D40" s="4" t="n">
        <f aca="false">SUMPRODUCT((Promenade!$B$2:$B$200=$A40)*(Promenade!$D$2:$D$200=$C40),Promenade!$E$2:$E$200)</f>
        <v>0</v>
      </c>
      <c r="E40" s="4" t="n">
        <f aca="false">SUMPRODUCT((Bedaya!$B$2:$B$200=$A40)*(Bedaya!$D$2:$D$200=$C40),Bedaya!$E$2:$E$200)</f>
        <v>1</v>
      </c>
      <c r="F40" s="5" t="n">
        <f aca="false">SUM(D40:E40)</f>
        <v>1</v>
      </c>
    </row>
    <row r="41" customFormat="false" ht="15" hidden="false" customHeight="false" outlineLevel="0" collapsed="false">
      <c r="A41" s="2" t="s">
        <v>34</v>
      </c>
      <c r="B41" s="2" t="s">
        <v>35</v>
      </c>
      <c r="C41" s="3" t="s">
        <v>44</v>
      </c>
      <c r="D41" s="4" t="n">
        <f aca="false">SUMPRODUCT((Promenade!$B$2:$B$200=$A41)*(Promenade!$D$2:$D$200=$C41),Promenade!$E$2:$E$200)</f>
        <v>0</v>
      </c>
      <c r="E41" s="4" t="n">
        <f aca="false">SUMPRODUCT((Bedaya!$B$2:$B$200=$A41)*(Bedaya!$D$2:$D$200=$C41),Bedaya!$E$2:$E$200)</f>
        <v>0</v>
      </c>
      <c r="F41" s="5" t="n">
        <f aca="false">SUM(D41:E41)</f>
        <v>0</v>
      </c>
    </row>
    <row r="42" customFormat="false" ht="15" hidden="false" customHeight="false" outlineLevel="0" collapsed="false">
      <c r="A42" s="2" t="s">
        <v>34</v>
      </c>
      <c r="B42" s="2" t="s">
        <v>35</v>
      </c>
      <c r="C42" s="3" t="s">
        <v>45</v>
      </c>
      <c r="D42" s="4" t="n">
        <f aca="false">SUMPRODUCT((Promenade!$B$2:$B$200=$A42)*(Promenade!$D$2:$D$200=$C42),Promenade!$E$2:$E$200)</f>
        <v>0</v>
      </c>
      <c r="E42" s="4" t="n">
        <f aca="false">SUMPRODUCT((Bedaya!$B$2:$B$200=$A42)*(Bedaya!$D$2:$D$200=$C42),Bedaya!$E$2:$E$200)</f>
        <v>4</v>
      </c>
      <c r="F42" s="5" t="n">
        <f aca="false">SUM(D42:E42)</f>
        <v>4</v>
      </c>
    </row>
    <row r="43" customFormat="false" ht="15" hidden="false" customHeight="false" outlineLevel="0" collapsed="false">
      <c r="A43" s="2" t="s">
        <v>34</v>
      </c>
      <c r="B43" s="2" t="s">
        <v>35</v>
      </c>
      <c r="C43" s="3" t="s">
        <v>46</v>
      </c>
      <c r="D43" s="4" t="n">
        <f aca="false">SUMPRODUCT((Promenade!$B$2:$B$200=$A43)*(Promenade!$D$2:$D$200=$C43),Promenade!$E$2:$E$200)</f>
        <v>0</v>
      </c>
      <c r="E43" s="4" t="n">
        <f aca="false">SUMPRODUCT((Bedaya!$B$2:$B$200=$A43)*(Bedaya!$D$2:$D$200=$C43),Bedaya!$E$2:$E$200)</f>
        <v>5</v>
      </c>
      <c r="F43" s="5" t="n">
        <f aca="false">SUM(D43:E43)</f>
        <v>5</v>
      </c>
    </row>
    <row r="44" customFormat="false" ht="15" hidden="false" customHeight="false" outlineLevel="0" collapsed="false">
      <c r="A44" s="2" t="s">
        <v>47</v>
      </c>
      <c r="B44" s="2" t="s">
        <v>35</v>
      </c>
      <c r="C44" s="3" t="s">
        <v>37</v>
      </c>
      <c r="D44" s="4" t="n">
        <f aca="false">SUMPRODUCT((Promenade!$B$2:$B$200=$A44)*(Promenade!$D$2:$D$200=$C44),Promenade!$E$2:$E$200)</f>
        <v>0</v>
      </c>
      <c r="E44" s="4" t="n">
        <f aca="false">SUMPRODUCT((Bedaya!$B$2:$B$200=$A44)*(Bedaya!$D$2:$D$200=$C44),Bedaya!$E$2:$E$200)</f>
        <v>1</v>
      </c>
      <c r="F44" s="5" t="n">
        <f aca="false">SUM(D44:E44)</f>
        <v>1</v>
      </c>
    </row>
    <row r="45" customFormat="false" ht="15" hidden="false" customHeight="false" outlineLevel="0" collapsed="false">
      <c r="A45" s="2" t="s">
        <v>47</v>
      </c>
      <c r="B45" s="2" t="s">
        <v>35</v>
      </c>
      <c r="C45" s="3" t="s">
        <v>38</v>
      </c>
      <c r="D45" s="4" t="n">
        <f aca="false">SUMPRODUCT((Promenade!$B$2:$B$200=$A45)*(Promenade!$D$2:$D$200=$C45),Promenade!$E$2:$E$200)</f>
        <v>0</v>
      </c>
      <c r="E45" s="4" t="n">
        <f aca="false">SUMPRODUCT((Bedaya!$B$2:$B$200=$A45)*(Bedaya!$D$2:$D$200=$C45),Bedaya!$E$2:$E$200)</f>
        <v>1</v>
      </c>
      <c r="F45" s="5" t="n">
        <f aca="false">SUM(D45:E45)</f>
        <v>1</v>
      </c>
    </row>
    <row r="46" customFormat="false" ht="15" hidden="false" customHeight="false" outlineLevel="0" collapsed="false">
      <c r="A46" s="2" t="s">
        <v>47</v>
      </c>
      <c r="B46" s="2" t="s">
        <v>35</v>
      </c>
      <c r="C46" s="3" t="s">
        <v>39</v>
      </c>
      <c r="D46" s="4" t="n">
        <f aca="false">SUMPRODUCT((Promenade!$B$2:$B$200=$A46)*(Promenade!$D$2:$D$200=$C46),Promenade!$E$2:$E$200)</f>
        <v>0</v>
      </c>
      <c r="E46" s="4" t="n">
        <f aca="false">SUMPRODUCT((Bedaya!$B$2:$B$200=$A46)*(Bedaya!$D$2:$D$200=$C46),Bedaya!$E$2:$E$200)</f>
        <v>3</v>
      </c>
      <c r="F46" s="5" t="n">
        <f aca="false">SUM(D46:E46)</f>
        <v>3</v>
      </c>
    </row>
    <row r="47" customFormat="false" ht="15" hidden="false" customHeight="false" outlineLevel="0" collapsed="false">
      <c r="A47" s="2" t="s">
        <v>47</v>
      </c>
      <c r="B47" s="2" t="s">
        <v>35</v>
      </c>
      <c r="C47" s="3" t="s">
        <v>40</v>
      </c>
      <c r="D47" s="4" t="n">
        <f aca="false">SUMPRODUCT((Promenade!$B$2:$B$200=$A47)*(Promenade!$D$2:$D$200=$C47),Promenade!$E$2:$E$200)</f>
        <v>0</v>
      </c>
      <c r="E47" s="4" t="n">
        <f aca="false">SUMPRODUCT((Bedaya!$B$2:$B$200=$A47)*(Bedaya!$D$2:$D$200=$C47),Bedaya!$E$2:$E$200)</f>
        <v>5</v>
      </c>
      <c r="F47" s="5" t="n">
        <f aca="false">SUM(D47:E47)</f>
        <v>5</v>
      </c>
    </row>
    <row r="48" customFormat="false" ht="15" hidden="false" customHeight="false" outlineLevel="0" collapsed="false">
      <c r="A48" s="2" t="s">
        <v>47</v>
      </c>
      <c r="B48" s="2" t="s">
        <v>35</v>
      </c>
      <c r="C48" s="3" t="s">
        <v>41</v>
      </c>
      <c r="D48" s="4" t="n">
        <f aca="false">SUMPRODUCT((Promenade!$B$2:$B$200=$A48)*(Promenade!$D$2:$D$200=$C48),Promenade!$E$2:$E$200)</f>
        <v>0</v>
      </c>
      <c r="E48" s="4" t="n">
        <f aca="false">SUMPRODUCT((Bedaya!$B$2:$B$200=$A48)*(Bedaya!$D$2:$D$200=$C48),Bedaya!$E$2:$E$200)</f>
        <v>3</v>
      </c>
      <c r="F48" s="5" t="n">
        <f aca="false">SUM(D48:E48)</f>
        <v>3</v>
      </c>
    </row>
    <row r="49" customFormat="false" ht="15" hidden="false" customHeight="false" outlineLevel="0" collapsed="false">
      <c r="A49" s="2" t="s">
        <v>47</v>
      </c>
      <c r="B49" s="2" t="s">
        <v>35</v>
      </c>
      <c r="C49" s="3" t="s">
        <v>42</v>
      </c>
      <c r="D49" s="4" t="n">
        <f aca="false">SUMPRODUCT((Promenade!$B$2:$B$200=$A49)*(Promenade!$D$2:$D$200=$C49),Promenade!$E$2:$E$200)</f>
        <v>0</v>
      </c>
      <c r="E49" s="4" t="n">
        <f aca="false">SUMPRODUCT((Bedaya!$B$2:$B$200=$A49)*(Bedaya!$D$2:$D$200=$C49),Bedaya!$E$2:$E$200)</f>
        <v>7</v>
      </c>
      <c r="F49" s="5" t="n">
        <f aca="false">SUM(D49:E49)</f>
        <v>7</v>
      </c>
    </row>
    <row r="50" customFormat="false" ht="15" hidden="false" customHeight="false" outlineLevel="0" collapsed="false">
      <c r="A50" s="2" t="s">
        <v>47</v>
      </c>
      <c r="B50" s="2" t="s">
        <v>35</v>
      </c>
      <c r="C50" s="3" t="s">
        <v>43</v>
      </c>
      <c r="D50" s="4" t="n">
        <f aca="false">SUMPRODUCT((Promenade!$B$2:$B$200=$A50)*(Promenade!$D$2:$D$200=$C50),Promenade!$E$2:$E$200)</f>
        <v>0</v>
      </c>
      <c r="E50" s="4" t="n">
        <f aca="false">SUMPRODUCT((Bedaya!$B$2:$B$200=$A50)*(Bedaya!$D$2:$D$200=$C50),Bedaya!$E$2:$E$200)</f>
        <v>3</v>
      </c>
      <c r="F50" s="5" t="n">
        <f aca="false">SUM(D50:E50)</f>
        <v>3</v>
      </c>
    </row>
    <row r="51" customFormat="false" ht="15" hidden="false" customHeight="false" outlineLevel="0" collapsed="false">
      <c r="A51" s="2" t="s">
        <v>47</v>
      </c>
      <c r="B51" s="2" t="s">
        <v>35</v>
      </c>
      <c r="C51" s="3" t="s">
        <v>44</v>
      </c>
      <c r="D51" s="4" t="n">
        <f aca="false">SUMPRODUCT((Promenade!$B$2:$B$200=$A51)*(Promenade!$D$2:$D$200=$C51),Promenade!$E$2:$E$200)</f>
        <v>0</v>
      </c>
      <c r="E51" s="4" t="n">
        <f aca="false">SUMPRODUCT((Bedaya!$B$2:$B$200=$A51)*(Bedaya!$D$2:$D$200=$C51),Bedaya!$E$2:$E$200)</f>
        <v>7</v>
      </c>
      <c r="F51" s="5" t="n">
        <f aca="false">SUM(D51:E51)</f>
        <v>7</v>
      </c>
    </row>
    <row r="52" customFormat="false" ht="15" hidden="false" customHeight="false" outlineLevel="0" collapsed="false">
      <c r="A52" s="2" t="s">
        <v>47</v>
      </c>
      <c r="B52" s="2" t="s">
        <v>35</v>
      </c>
      <c r="C52" s="3" t="s">
        <v>45</v>
      </c>
      <c r="D52" s="4" t="n">
        <f aca="false">SUMPRODUCT((Promenade!$B$2:$B$200=$A52)*(Promenade!$D$2:$D$200=$C52),Promenade!$E$2:$E$200)</f>
        <v>0</v>
      </c>
      <c r="E52" s="4" t="n">
        <f aca="false">SUMPRODUCT((Bedaya!$B$2:$B$200=$A52)*(Bedaya!$D$2:$D$200=$C52),Bedaya!$E$2:$E$200)</f>
        <v>4</v>
      </c>
      <c r="F52" s="5" t="n">
        <f aca="false">SUM(D52:E52)</f>
        <v>4</v>
      </c>
    </row>
    <row r="53" customFormat="false" ht="15" hidden="false" customHeight="false" outlineLevel="0" collapsed="false">
      <c r="A53" s="2" t="s">
        <v>47</v>
      </c>
      <c r="B53" s="2" t="s">
        <v>35</v>
      </c>
      <c r="C53" s="3" t="s">
        <v>46</v>
      </c>
      <c r="D53" s="4" t="n">
        <f aca="false">SUMPRODUCT((Promenade!$B$2:$B$200=$A53)*(Promenade!$D$2:$D$200=$C53),Promenade!$E$2:$E$200)</f>
        <v>0</v>
      </c>
      <c r="E53" s="4" t="n">
        <f aca="false">SUMPRODUCT((Bedaya!$B$2:$B$200=$A53)*(Bedaya!$D$2:$D$200=$C53),Bedaya!$E$2:$E$200)</f>
        <v>6</v>
      </c>
      <c r="F53" s="5" t="n">
        <f aca="false">SUM(D53:E53)</f>
        <v>6</v>
      </c>
    </row>
    <row r="54" customFormat="false" ht="15" hidden="false" customHeight="false" outlineLevel="0" collapsed="false">
      <c r="A54" s="2" t="s">
        <v>48</v>
      </c>
      <c r="B54" s="2" t="s">
        <v>35</v>
      </c>
      <c r="C54" s="3" t="s">
        <v>36</v>
      </c>
      <c r="D54" s="4" t="n">
        <f aca="false">SUMPRODUCT((Promenade!$B$2:$B$200=$A54)*(Promenade!$D$2:$D$200=$C54),Promenade!$E$2:$E$200)</f>
        <v>0</v>
      </c>
      <c r="E54" s="4" t="n">
        <f aca="false">SUMPRODUCT((Bedaya!$B$2:$B$200=$A54)*(Bedaya!$D$2:$D$200=$C54),Bedaya!$E$2:$E$200)</f>
        <v>1</v>
      </c>
      <c r="F54" s="5" t="n">
        <f aca="false">SUM(D54:E54)</f>
        <v>1</v>
      </c>
    </row>
    <row r="55" customFormat="false" ht="15" hidden="false" customHeight="false" outlineLevel="0" collapsed="false">
      <c r="A55" s="2" t="s">
        <v>48</v>
      </c>
      <c r="B55" s="2" t="s">
        <v>35</v>
      </c>
      <c r="C55" s="3" t="s">
        <v>37</v>
      </c>
      <c r="D55" s="4" t="n">
        <f aca="false">SUMPRODUCT((Promenade!$B$2:$B$200=$A55)*(Promenade!$D$2:$D$200=$C55),Promenade!$E$2:$E$200)</f>
        <v>0</v>
      </c>
      <c r="E55" s="4" t="n">
        <f aca="false">SUMPRODUCT((Bedaya!$B$2:$B$200=$A55)*(Bedaya!$D$2:$D$200=$C55),Bedaya!$E$2:$E$200)</f>
        <v>2</v>
      </c>
      <c r="F55" s="5" t="n">
        <f aca="false">SUM(D55:E55)</f>
        <v>2</v>
      </c>
    </row>
    <row r="56" customFormat="false" ht="15" hidden="false" customHeight="false" outlineLevel="0" collapsed="false">
      <c r="A56" s="2" t="s">
        <v>48</v>
      </c>
      <c r="B56" s="2" t="s">
        <v>35</v>
      </c>
      <c r="C56" s="3" t="s">
        <v>38</v>
      </c>
      <c r="D56" s="4" t="n">
        <f aca="false">SUMPRODUCT((Promenade!$B$2:$B$200=$A56)*(Promenade!$D$2:$D$200=$C56),Promenade!$E$2:$E$200)</f>
        <v>0</v>
      </c>
      <c r="E56" s="4" t="n">
        <f aca="false">SUMPRODUCT((Bedaya!$B$2:$B$200=$A56)*(Bedaya!$D$2:$D$200=$C56),Bedaya!$E$2:$E$200)</f>
        <v>1</v>
      </c>
      <c r="F56" s="5" t="n">
        <f aca="false">SUM(D56:E56)</f>
        <v>1</v>
      </c>
    </row>
    <row r="57" customFormat="false" ht="15" hidden="false" customHeight="false" outlineLevel="0" collapsed="false">
      <c r="A57" s="2" t="s">
        <v>48</v>
      </c>
      <c r="B57" s="2" t="s">
        <v>35</v>
      </c>
      <c r="C57" s="3" t="s">
        <v>39</v>
      </c>
      <c r="D57" s="4" t="n">
        <f aca="false">SUMPRODUCT((Promenade!$B$2:$B$200=$A57)*(Promenade!$D$2:$D$200=$C57),Promenade!$E$2:$E$200)</f>
        <v>0</v>
      </c>
      <c r="E57" s="4" t="n">
        <f aca="false">SUMPRODUCT((Bedaya!$B$2:$B$200=$A57)*(Bedaya!$D$2:$D$200=$C57),Bedaya!$E$2:$E$200)</f>
        <v>3</v>
      </c>
      <c r="F57" s="5" t="n">
        <f aca="false">SUM(D57:E57)</f>
        <v>3</v>
      </c>
    </row>
    <row r="58" customFormat="false" ht="15" hidden="false" customHeight="false" outlineLevel="0" collapsed="false">
      <c r="A58" s="2" t="s">
        <v>48</v>
      </c>
      <c r="B58" s="2" t="s">
        <v>35</v>
      </c>
      <c r="C58" s="3" t="s">
        <v>40</v>
      </c>
      <c r="D58" s="4" t="n">
        <f aca="false">SUMPRODUCT((Promenade!$B$2:$B$200=$A58)*(Promenade!$D$2:$D$200=$C58),Promenade!$E$2:$E$200)</f>
        <v>0</v>
      </c>
      <c r="E58" s="4" t="n">
        <f aca="false">SUMPRODUCT((Bedaya!$B$2:$B$200=$A58)*(Bedaya!$D$2:$D$200=$C58),Bedaya!$E$2:$E$200)</f>
        <v>4</v>
      </c>
      <c r="F58" s="5" t="n">
        <f aca="false">SUM(D58:E58)</f>
        <v>4</v>
      </c>
    </row>
    <row r="59" customFormat="false" ht="15" hidden="false" customHeight="false" outlineLevel="0" collapsed="false">
      <c r="A59" s="2" t="s">
        <v>48</v>
      </c>
      <c r="B59" s="2" t="s">
        <v>35</v>
      </c>
      <c r="C59" s="3" t="s">
        <v>41</v>
      </c>
      <c r="D59" s="4" t="n">
        <f aca="false">SUMPRODUCT((Promenade!$B$2:$B$200=$A59)*(Promenade!$D$2:$D$200=$C59),Promenade!$E$2:$E$200)</f>
        <v>0</v>
      </c>
      <c r="E59" s="4" t="n">
        <f aca="false">SUMPRODUCT((Bedaya!$B$2:$B$200=$A59)*(Bedaya!$D$2:$D$200=$C59),Bedaya!$E$2:$E$200)</f>
        <v>4</v>
      </c>
      <c r="F59" s="5" t="n">
        <f aca="false">SUM(D59:E59)</f>
        <v>4</v>
      </c>
    </row>
    <row r="60" customFormat="false" ht="15" hidden="false" customHeight="false" outlineLevel="0" collapsed="false">
      <c r="A60" s="2" t="s">
        <v>48</v>
      </c>
      <c r="B60" s="2" t="s">
        <v>35</v>
      </c>
      <c r="C60" s="3" t="s">
        <v>42</v>
      </c>
      <c r="D60" s="4" t="n">
        <f aca="false">SUMPRODUCT((Promenade!$B$2:$B$200=$A60)*(Promenade!$D$2:$D$200=$C60),Promenade!$E$2:$E$200)</f>
        <v>0</v>
      </c>
      <c r="E60" s="4" t="n">
        <f aca="false">SUMPRODUCT((Bedaya!$B$2:$B$200=$A60)*(Bedaya!$D$2:$D$200=$C60),Bedaya!$E$2:$E$200)</f>
        <v>3</v>
      </c>
      <c r="F60" s="5" t="n">
        <f aca="false">SUM(D60:E60)</f>
        <v>3</v>
      </c>
    </row>
    <row r="61" customFormat="false" ht="15" hidden="false" customHeight="false" outlineLevel="0" collapsed="false">
      <c r="A61" s="2" t="s">
        <v>48</v>
      </c>
      <c r="B61" s="2" t="s">
        <v>35</v>
      </c>
      <c r="C61" s="3" t="s">
        <v>43</v>
      </c>
      <c r="D61" s="4" t="n">
        <f aca="false">SUMPRODUCT((Promenade!$B$2:$B$200=$A61)*(Promenade!$D$2:$D$200=$C61),Promenade!$E$2:$E$200)</f>
        <v>0</v>
      </c>
      <c r="E61" s="4" t="n">
        <f aca="false">SUMPRODUCT((Bedaya!$B$2:$B$200=$A61)*(Bedaya!$D$2:$D$200=$C61),Bedaya!$E$2:$E$200)</f>
        <v>4</v>
      </c>
      <c r="F61" s="5" t="n">
        <f aca="false">SUM(D61:E61)</f>
        <v>4</v>
      </c>
    </row>
    <row r="62" customFormat="false" ht="15" hidden="false" customHeight="false" outlineLevel="0" collapsed="false">
      <c r="A62" s="2" t="s">
        <v>48</v>
      </c>
      <c r="B62" s="2" t="s">
        <v>35</v>
      </c>
      <c r="C62" s="3" t="s">
        <v>44</v>
      </c>
      <c r="D62" s="4" t="n">
        <f aca="false">SUMPRODUCT((Promenade!$B$2:$B$200=$A62)*(Promenade!$D$2:$D$200=$C62),Promenade!$E$2:$E$200)</f>
        <v>0</v>
      </c>
      <c r="E62" s="4" t="n">
        <f aca="false">SUMPRODUCT((Bedaya!$B$2:$B$200=$A62)*(Bedaya!$D$2:$D$200=$C62),Bedaya!$E$2:$E$200)</f>
        <v>3</v>
      </c>
      <c r="F62" s="5" t="n">
        <f aca="false">SUM(D62:E62)</f>
        <v>3</v>
      </c>
    </row>
    <row r="63" customFormat="false" ht="15" hidden="false" customHeight="false" outlineLevel="0" collapsed="false">
      <c r="A63" s="2" t="s">
        <v>48</v>
      </c>
      <c r="B63" s="2" t="s">
        <v>35</v>
      </c>
      <c r="C63" s="3" t="s">
        <v>45</v>
      </c>
      <c r="D63" s="4" t="n">
        <f aca="false">SUMPRODUCT((Promenade!$B$2:$B$200=$A63)*(Promenade!$D$2:$D$200=$C63),Promenade!$E$2:$E$200)</f>
        <v>0</v>
      </c>
      <c r="E63" s="4" t="n">
        <f aca="false">SUMPRODUCT((Bedaya!$B$2:$B$200=$A63)*(Bedaya!$D$2:$D$200=$C63),Bedaya!$E$2:$E$200)</f>
        <v>4</v>
      </c>
      <c r="F63" s="5" t="n">
        <f aca="false">SUM(D63:E63)</f>
        <v>4</v>
      </c>
    </row>
    <row r="64" customFormat="false" ht="15" hidden="false" customHeight="false" outlineLevel="0" collapsed="false">
      <c r="A64" s="2" t="s">
        <v>48</v>
      </c>
      <c r="B64" s="2" t="s">
        <v>35</v>
      </c>
      <c r="C64" s="3" t="s">
        <v>46</v>
      </c>
      <c r="D64" s="4" t="n">
        <f aca="false">SUMPRODUCT((Promenade!$B$2:$B$200=$A64)*(Promenade!$D$2:$D$200=$C64),Promenade!$E$2:$E$200)</f>
        <v>0</v>
      </c>
      <c r="E64" s="4" t="n">
        <f aca="false">SUMPRODUCT((Bedaya!$B$2:$B$200=$A64)*(Bedaya!$D$2:$D$200=$C64),Bedaya!$E$2:$E$200)</f>
        <v>11</v>
      </c>
      <c r="F64" s="5" t="n">
        <f aca="false">SUM(D64:E64)</f>
        <v>11</v>
      </c>
    </row>
    <row r="65" customFormat="false" ht="15" hidden="false" customHeight="false" outlineLevel="0" collapsed="false">
      <c r="A65" s="2" t="s">
        <v>49</v>
      </c>
      <c r="B65" s="2" t="s">
        <v>35</v>
      </c>
      <c r="C65" s="3" t="s">
        <v>50</v>
      </c>
      <c r="D65" s="4" t="n">
        <f aca="false">SUMPRODUCT((Promenade!$B$2:$B$200=$A65)*(Promenade!$D$2:$D$200=$C65),Promenade!$E$2:$E$200)</f>
        <v>1</v>
      </c>
      <c r="E65" s="4" t="n">
        <f aca="false">SUMPRODUCT((Bedaya!$B$2:$B$200=$A65)*(Bedaya!$D$2:$D$200=$C65),Bedaya!$E$2:$E$200)</f>
        <v>0</v>
      </c>
      <c r="F65" s="5" t="n">
        <f aca="false">SUM(D65:E65)</f>
        <v>1</v>
      </c>
    </row>
    <row r="66" customFormat="false" ht="15" hidden="false" customHeight="false" outlineLevel="0" collapsed="false">
      <c r="A66" s="2" t="s">
        <v>49</v>
      </c>
      <c r="B66" s="2" t="s">
        <v>35</v>
      </c>
      <c r="C66" s="3" t="s">
        <v>51</v>
      </c>
      <c r="D66" s="4" t="n">
        <f aca="false">SUMPRODUCT((Promenade!$B$2:$B$200=$A66)*(Promenade!$D$2:$D$200=$C66),Promenade!$E$2:$E$200)</f>
        <v>1</v>
      </c>
      <c r="E66" s="4" t="n">
        <f aca="false">SUMPRODUCT((Bedaya!$B$2:$B$200=$A66)*(Bedaya!$D$2:$D$200=$C66),Bedaya!$E$2:$E$200)</f>
        <v>0</v>
      </c>
      <c r="F66" s="5" t="n">
        <f aca="false">SUM(D66:E66)</f>
        <v>1</v>
      </c>
    </row>
    <row r="67" customFormat="false" ht="15" hidden="false" customHeight="false" outlineLevel="0" collapsed="false">
      <c r="A67" s="2" t="s">
        <v>49</v>
      </c>
      <c r="B67" s="2" t="s">
        <v>35</v>
      </c>
      <c r="C67" s="3" t="s">
        <v>52</v>
      </c>
      <c r="D67" s="4" t="n">
        <f aca="false">SUMPRODUCT((Promenade!$B$2:$B$200=$A67)*(Promenade!$D$2:$D$200=$C67),Promenade!$E$2:$E$200)</f>
        <v>1</v>
      </c>
      <c r="E67" s="4" t="n">
        <f aca="false">SUMPRODUCT((Bedaya!$B$2:$B$200=$A67)*(Bedaya!$D$2:$D$200=$C67),Bedaya!$E$2:$E$200)</f>
        <v>0</v>
      </c>
      <c r="F67" s="5" t="n">
        <f aca="false">SUM(D67:E67)</f>
        <v>1</v>
      </c>
    </row>
    <row r="68" customFormat="false" ht="15" hidden="false" customHeight="false" outlineLevel="0" collapsed="false">
      <c r="A68" s="2" t="s">
        <v>53</v>
      </c>
      <c r="B68" s="2" t="s">
        <v>35</v>
      </c>
      <c r="C68" s="3" t="s">
        <v>45</v>
      </c>
      <c r="D68" s="4" t="n">
        <f aca="false">SUMPRODUCT((Promenade!$B$2:$B$200=$A68)*(Promenade!$D$2:$D$200=$C68),Promenade!$E$2:$E$200)</f>
        <v>1</v>
      </c>
      <c r="E68" s="4" t="n">
        <f aca="false">SUMPRODUCT((Bedaya!$B$2:$B$200=$A68)*(Bedaya!$D$2:$D$200=$C68),Bedaya!$E$2:$E$200)</f>
        <v>0</v>
      </c>
      <c r="F68" s="5" t="n">
        <f aca="false">SUM(D68:E68)</f>
        <v>1</v>
      </c>
    </row>
    <row r="69" customFormat="false" ht="15" hidden="false" customHeight="false" outlineLevel="0" collapsed="false">
      <c r="A69" s="2" t="s">
        <v>53</v>
      </c>
      <c r="B69" s="2" t="s">
        <v>35</v>
      </c>
      <c r="C69" s="3" t="s">
        <v>46</v>
      </c>
      <c r="D69" s="4" t="n">
        <f aca="false">SUMPRODUCT((Promenade!$B$2:$B$200=$A69)*(Promenade!$D$2:$D$200=$C69),Promenade!$E$2:$E$200)</f>
        <v>9</v>
      </c>
      <c r="E69" s="4" t="n">
        <f aca="false">SUMPRODUCT((Bedaya!$B$2:$B$200=$A69)*(Bedaya!$D$2:$D$200=$C69),Bedaya!$E$2:$E$200)</f>
        <v>0</v>
      </c>
      <c r="F69" s="5" t="n">
        <f aca="false">SUM(D69:E69)</f>
        <v>9</v>
      </c>
    </row>
    <row r="70" customFormat="false" ht="15" hidden="false" customHeight="false" outlineLevel="0" collapsed="false">
      <c r="A70" s="2" t="s">
        <v>54</v>
      </c>
      <c r="B70" s="2" t="s">
        <v>35</v>
      </c>
      <c r="C70" s="3" t="s">
        <v>44</v>
      </c>
      <c r="D70" s="4" t="n">
        <f aca="false">SUMPRODUCT((Promenade!$B$2:$B$200=$A70)*(Promenade!$D$2:$D$200=$C70),Promenade!$E$2:$E$200)</f>
        <v>4</v>
      </c>
      <c r="E70" s="4" t="n">
        <f aca="false">SUMPRODUCT((Bedaya!$B$2:$B$200=$A70)*(Bedaya!$D$2:$D$200=$C70),Bedaya!$E$2:$E$200)</f>
        <v>0</v>
      </c>
      <c r="F70" s="5" t="n">
        <f aca="false">SUM(D70:E70)</f>
        <v>4</v>
      </c>
    </row>
    <row r="71" customFormat="false" ht="15" hidden="false" customHeight="false" outlineLevel="0" collapsed="false">
      <c r="A71" s="2" t="s">
        <v>54</v>
      </c>
      <c r="B71" s="2" t="s">
        <v>35</v>
      </c>
      <c r="C71" s="3" t="s">
        <v>45</v>
      </c>
      <c r="D71" s="4" t="n">
        <f aca="false">SUMPRODUCT((Promenade!$B$2:$B$200=$A71)*(Promenade!$D$2:$D$200=$C71),Promenade!$E$2:$E$200)</f>
        <v>22</v>
      </c>
      <c r="E71" s="4" t="n">
        <f aca="false">SUMPRODUCT((Bedaya!$B$2:$B$200=$A71)*(Bedaya!$D$2:$D$200=$C71),Bedaya!$E$2:$E$200)</f>
        <v>0</v>
      </c>
      <c r="F71" s="5" t="n">
        <f aca="false">SUM(D71:E71)</f>
        <v>22</v>
      </c>
    </row>
    <row r="72" customFormat="false" ht="15" hidden="false" customHeight="false" outlineLevel="0" collapsed="false">
      <c r="A72" s="2" t="s">
        <v>54</v>
      </c>
      <c r="B72" s="2" t="s">
        <v>35</v>
      </c>
      <c r="C72" s="3" t="s">
        <v>40</v>
      </c>
      <c r="D72" s="4" t="n">
        <f aca="false">SUMPRODUCT((Promenade!$B$2:$B$200=$A72)*(Promenade!$D$2:$D$200=$C72),Promenade!$E$2:$E$200)</f>
        <v>45</v>
      </c>
      <c r="E72" s="4" t="n">
        <f aca="false">SUMPRODUCT((Bedaya!$B$2:$B$200=$A72)*(Bedaya!$D$2:$D$200=$C72),Bedaya!$E$2:$E$200)</f>
        <v>0</v>
      </c>
      <c r="F72" s="5" t="n">
        <f aca="false">SUM(D72:E72)</f>
        <v>45</v>
      </c>
    </row>
    <row r="73" customFormat="false" ht="15" hidden="false" customHeight="false" outlineLevel="0" collapsed="false">
      <c r="A73" s="2" t="s">
        <v>55</v>
      </c>
      <c r="B73" s="2" t="s">
        <v>56</v>
      </c>
      <c r="C73" s="3" t="s">
        <v>16</v>
      </c>
      <c r="D73" s="4" t="n">
        <f aca="false">SUMPRODUCT((Promenade!$B$2:$B$200=$A73)*(Promenade!$D$2:$D$200=$C73),Promenade!$E$2:$E$200)</f>
        <v>0</v>
      </c>
      <c r="E73" s="4" t="n">
        <f aca="false">SUMPRODUCT((Bedaya!$B$2:$B$200=$A73)*(Bedaya!$D$2:$D$200=$C73),Bedaya!$E$2:$E$200)</f>
        <v>2</v>
      </c>
      <c r="F73" s="5" t="n">
        <f aca="false">SUM(D73:E73)</f>
        <v>2</v>
      </c>
    </row>
    <row r="74" customFormat="false" ht="15" hidden="false" customHeight="false" outlineLevel="0" collapsed="false">
      <c r="A74" s="2" t="s">
        <v>55</v>
      </c>
      <c r="B74" s="2" t="s">
        <v>56</v>
      </c>
      <c r="C74" s="3" t="s">
        <v>17</v>
      </c>
      <c r="D74" s="4" t="n">
        <f aca="false">SUMPRODUCT((Promenade!$B$2:$B$200=$A74)*(Promenade!$D$2:$D$200=$C74),Promenade!$E$2:$E$200)</f>
        <v>0</v>
      </c>
      <c r="E74" s="4" t="n">
        <f aca="false">SUMPRODUCT((Bedaya!$B$2:$B$200=$A74)*(Bedaya!$D$2:$D$200=$C74),Bedaya!$E$2:$E$200)</f>
        <v>3</v>
      </c>
      <c r="F74" s="5" t="n">
        <f aca="false">SUM(D74:E74)</f>
        <v>3</v>
      </c>
    </row>
    <row r="75" customFormat="false" ht="15" hidden="false" customHeight="false" outlineLevel="0" collapsed="false">
      <c r="A75" s="2" t="s">
        <v>55</v>
      </c>
      <c r="B75" s="2" t="s">
        <v>56</v>
      </c>
      <c r="C75" s="3" t="s">
        <v>13</v>
      </c>
      <c r="D75" s="4" t="n">
        <f aca="false">SUMPRODUCT((Promenade!$B$2:$B$200=$A75)*(Promenade!$D$2:$D$200=$C75),Promenade!$E$2:$E$200)</f>
        <v>0</v>
      </c>
      <c r="E75" s="4" t="n">
        <f aca="false">SUMPRODUCT((Bedaya!$B$2:$B$200=$A75)*(Bedaya!$D$2:$D$200=$C75),Bedaya!$E$2:$E$200)</f>
        <v>0</v>
      </c>
      <c r="F75" s="5" t="n">
        <f aca="false">SUM(D75:E75)</f>
        <v>0</v>
      </c>
    </row>
    <row r="76" customFormat="false" ht="15" hidden="false" customHeight="false" outlineLevel="0" collapsed="false">
      <c r="A76" s="2" t="s">
        <v>55</v>
      </c>
      <c r="B76" s="2" t="s">
        <v>56</v>
      </c>
      <c r="C76" s="3" t="s">
        <v>14</v>
      </c>
      <c r="D76" s="4" t="n">
        <f aca="false">SUMPRODUCT((Promenade!$B$2:$B$200=$A76)*(Promenade!$D$2:$D$200=$C76),Promenade!$E$2:$E$200)</f>
        <v>0</v>
      </c>
      <c r="E76" s="4" t="n">
        <f aca="false">SUMPRODUCT((Bedaya!$B$2:$B$200=$A76)*(Bedaya!$D$2:$D$200=$C76),Bedaya!$E$2:$E$200)</f>
        <v>0</v>
      </c>
      <c r="F76" s="5" t="n">
        <f aca="false">SUM(D76:E76)</f>
        <v>0</v>
      </c>
    </row>
    <row r="77" customFormat="false" ht="15" hidden="false" customHeight="false" outlineLevel="0" collapsed="false">
      <c r="A77" s="2" t="s">
        <v>55</v>
      </c>
      <c r="B77" s="2" t="s">
        <v>56</v>
      </c>
      <c r="C77" s="3" t="s">
        <v>57</v>
      </c>
      <c r="D77" s="4" t="n">
        <f aca="false">SUMPRODUCT((Promenade!$B$2:$B$200=$A77)*(Promenade!$D$2:$D$200=$C77),Promenade!$E$2:$E$200)</f>
        <v>0</v>
      </c>
      <c r="E77" s="4" t="n">
        <f aca="false">SUMPRODUCT((Bedaya!$B$2:$B$200=$A77)*(Bedaya!$D$2:$D$200=$C77),Bedaya!$E$2:$E$200)</f>
        <v>2</v>
      </c>
      <c r="F77" s="5" t="n">
        <f aca="false">SUM(D77:E77)</f>
        <v>2</v>
      </c>
    </row>
    <row r="78" customFormat="false" ht="15" hidden="false" customHeight="false" outlineLevel="0" collapsed="false">
      <c r="A78" s="2" t="s">
        <v>55</v>
      </c>
      <c r="B78" s="2" t="s">
        <v>56</v>
      </c>
      <c r="C78" s="3" t="s">
        <v>58</v>
      </c>
      <c r="D78" s="4" t="n">
        <f aca="false">SUMPRODUCT((Promenade!$B$2:$B$200=$A78)*(Promenade!$D$2:$D$200=$C78),Promenade!$E$2:$E$200)</f>
        <v>0</v>
      </c>
      <c r="E78" s="4" t="n">
        <f aca="false">SUMPRODUCT((Bedaya!$B$2:$B$200=$A78)*(Bedaya!$D$2:$D$200=$C78),Bedaya!$E$2:$E$200)</f>
        <v>1</v>
      </c>
      <c r="F78" s="5" t="n">
        <f aca="false">SUM(D78:E78)</f>
        <v>1</v>
      </c>
    </row>
    <row r="79" customFormat="false" ht="15" hidden="false" customHeight="false" outlineLevel="0" collapsed="false">
      <c r="A79" s="2" t="s">
        <v>55</v>
      </c>
      <c r="B79" s="2" t="s">
        <v>56</v>
      </c>
      <c r="C79" s="3" t="s">
        <v>59</v>
      </c>
      <c r="D79" s="4" t="n">
        <f aca="false">SUMPRODUCT((Promenade!$B$2:$B$200=$A79)*(Promenade!$D$2:$D$200=$C79),Promenade!$E$2:$E$200)</f>
        <v>0</v>
      </c>
      <c r="E79" s="4" t="n">
        <f aca="false">SUMPRODUCT((Bedaya!$B$2:$B$200=$A79)*(Bedaya!$D$2:$D$200=$C79),Bedaya!$E$2:$E$200)</f>
        <v>4</v>
      </c>
      <c r="F79" s="5" t="n">
        <f aca="false">SUM(D79:E79)</f>
        <v>4</v>
      </c>
    </row>
    <row r="80" customFormat="false" ht="15" hidden="false" customHeight="false" outlineLevel="0" collapsed="false">
      <c r="A80" s="2" t="s">
        <v>55</v>
      </c>
      <c r="B80" s="2" t="s">
        <v>56</v>
      </c>
      <c r="C80" s="3" t="s">
        <v>60</v>
      </c>
      <c r="D80" s="4" t="n">
        <f aca="false">SUMPRODUCT((Promenade!$B$2:$B$200=$A80)*(Promenade!$D$2:$D$200=$C80),Promenade!$E$2:$E$200)</f>
        <v>0</v>
      </c>
      <c r="E80" s="4" t="n">
        <f aca="false">SUMPRODUCT((Bedaya!$B$2:$B$200=$A80)*(Bedaya!$D$2:$D$200=$C80),Bedaya!$E$2:$E$200)</f>
        <v>2</v>
      </c>
      <c r="F80" s="5" t="n">
        <f aca="false">SUM(D80:E80)</f>
        <v>2</v>
      </c>
    </row>
    <row r="81" customFormat="false" ht="15" hidden="false" customHeight="false" outlineLevel="0" collapsed="false">
      <c r="A81" s="2" t="s">
        <v>55</v>
      </c>
      <c r="B81" s="2" t="s">
        <v>56</v>
      </c>
      <c r="C81" s="3" t="s">
        <v>61</v>
      </c>
      <c r="D81" s="4" t="n">
        <f aca="false">SUMPRODUCT((Promenade!$B$2:$B$200=$A81)*(Promenade!$D$2:$D$200=$C81),Promenade!$E$2:$E$200)</f>
        <v>0</v>
      </c>
      <c r="E81" s="4" t="n">
        <f aca="false">SUMPRODUCT((Bedaya!$B$2:$B$200=$A81)*(Bedaya!$D$2:$D$200=$C81),Bedaya!$E$2:$E$200)</f>
        <v>3</v>
      </c>
      <c r="F81" s="5" t="n">
        <f aca="false">SUM(D81:E81)</f>
        <v>3</v>
      </c>
    </row>
    <row r="82" customFormat="false" ht="15" hidden="false" customHeight="false" outlineLevel="0" collapsed="false">
      <c r="A82" s="2" t="s">
        <v>62</v>
      </c>
      <c r="B82" s="2" t="s">
        <v>56</v>
      </c>
      <c r="C82" s="3" t="s">
        <v>63</v>
      </c>
      <c r="D82" s="4" t="n">
        <f aca="false">SUMPRODUCT((Promenade!$B$2:$B$200=$A82)*(Promenade!$D$2:$D$200=$C82),Promenade!$E$2:$E$200)</f>
        <v>0</v>
      </c>
      <c r="E82" s="4" t="n">
        <f aca="false">SUMPRODUCT((Bedaya!$B$2:$B$200=$A82)*(Bedaya!$D$2:$D$200=$C82),Bedaya!$E$2:$E$200)</f>
        <v>4</v>
      </c>
      <c r="F82" s="5" t="n">
        <f aca="false">SUM(D82:E82)</f>
        <v>4</v>
      </c>
    </row>
    <row r="83" customFormat="false" ht="15" hidden="false" customHeight="false" outlineLevel="0" collapsed="false">
      <c r="A83" s="2" t="s">
        <v>62</v>
      </c>
      <c r="B83" s="2" t="s">
        <v>56</v>
      </c>
      <c r="C83" s="3" t="s">
        <v>64</v>
      </c>
      <c r="D83" s="4" t="n">
        <f aca="false">SUMPRODUCT((Promenade!$B$2:$B$200=$A83)*(Promenade!$D$2:$D$200=$C83),Promenade!$E$2:$E$200)</f>
        <v>5</v>
      </c>
      <c r="E83" s="4" t="n">
        <f aca="false">SUMPRODUCT((Bedaya!$B$2:$B$200=$A83)*(Bedaya!$D$2:$D$200=$C83),Bedaya!$E$2:$E$200)</f>
        <v>3</v>
      </c>
      <c r="F83" s="5" t="n">
        <f aca="false">SUM(D83:E83)</f>
        <v>8</v>
      </c>
    </row>
    <row r="84" customFormat="false" ht="15" hidden="false" customHeight="false" outlineLevel="0" collapsed="false">
      <c r="A84" s="2" t="s">
        <v>62</v>
      </c>
      <c r="B84" s="2" t="s">
        <v>56</v>
      </c>
      <c r="C84" s="3" t="s">
        <v>65</v>
      </c>
      <c r="D84" s="4" t="n">
        <f aca="false">SUMPRODUCT((Promenade!$B$2:$B$200=$A84)*(Promenade!$D$2:$D$200=$C84),Promenade!$E$2:$E$200)</f>
        <v>2</v>
      </c>
      <c r="E84" s="4" t="n">
        <f aca="false">SUMPRODUCT((Bedaya!$B$2:$B$200=$A84)*(Bedaya!$D$2:$D$200=$C84),Bedaya!$E$2:$E$200)</f>
        <v>9</v>
      </c>
      <c r="F84" s="5" t="n">
        <f aca="false">SUM(D84:E84)</f>
        <v>11</v>
      </c>
    </row>
    <row r="85" customFormat="false" ht="15" hidden="false" customHeight="false" outlineLevel="0" collapsed="false">
      <c r="A85" s="2" t="s">
        <v>62</v>
      </c>
      <c r="B85" s="2" t="s">
        <v>56</v>
      </c>
      <c r="C85" s="3" t="s">
        <v>66</v>
      </c>
      <c r="D85" s="4" t="n">
        <f aca="false">SUMPRODUCT((Promenade!$B$2:$B$200=$A85)*(Promenade!$D$2:$D$200=$C85),Promenade!$E$2:$E$200)</f>
        <v>8</v>
      </c>
      <c r="E85" s="4" t="n">
        <f aca="false">SUMPRODUCT((Bedaya!$B$2:$B$200=$A85)*(Bedaya!$D$2:$D$200=$C85),Bedaya!$E$2:$E$200)</f>
        <v>7</v>
      </c>
      <c r="F85" s="5" t="n">
        <f aca="false">SUM(D85:E85)</f>
        <v>15</v>
      </c>
    </row>
    <row r="86" customFormat="false" ht="15" hidden="false" customHeight="false" outlineLevel="0" collapsed="false">
      <c r="A86" s="2" t="s">
        <v>67</v>
      </c>
      <c r="B86" s="2" t="s">
        <v>56</v>
      </c>
      <c r="C86" s="3" t="s">
        <v>27</v>
      </c>
      <c r="D86" s="4" t="n">
        <f aca="false">SUMPRODUCT((Promenade!$B$2:$B$200=$A86)*(Promenade!$D$2:$D$200=$C86),Promenade!$E$2:$E$200)</f>
        <v>26</v>
      </c>
      <c r="E86" s="4" t="n">
        <f aca="false">SUMPRODUCT((Bedaya!$B$2:$B$200=$A86)*(Bedaya!$D$2:$D$200=$C86),Bedaya!$E$2:$E$200)</f>
        <v>9</v>
      </c>
      <c r="F86" s="5" t="n">
        <f aca="false">SUM(D86:E86)</f>
        <v>35</v>
      </c>
    </row>
    <row r="87" customFormat="false" ht="15" hidden="false" customHeight="false" outlineLevel="0" collapsed="false">
      <c r="A87" s="2" t="s">
        <v>68</v>
      </c>
      <c r="B87" s="2" t="s">
        <v>56</v>
      </c>
      <c r="C87" s="3" t="s">
        <v>17</v>
      </c>
      <c r="D87" s="4" t="n">
        <f aca="false">SUMPRODUCT((Promenade!$B$2:$B$200=$A87)*(Promenade!$D$2:$D$200=$C87),Promenade!$E$2:$E$200)</f>
        <v>0</v>
      </c>
      <c r="E87" s="4" t="n">
        <f aca="false">SUMPRODUCT((Bedaya!$B$2:$B$200=$A87)*(Bedaya!$D$2:$D$200=$C87),Bedaya!$E$2:$E$200)</f>
        <v>6</v>
      </c>
      <c r="F87" s="5" t="n">
        <f aca="false">SUM(D87:E87)</f>
        <v>6</v>
      </c>
    </row>
    <row r="88" customFormat="false" ht="15" hidden="false" customHeight="false" outlineLevel="0" collapsed="false">
      <c r="A88" s="2" t="s">
        <v>68</v>
      </c>
      <c r="B88" s="2" t="s">
        <v>56</v>
      </c>
      <c r="C88" s="3" t="s">
        <v>13</v>
      </c>
      <c r="D88" s="4" t="n">
        <f aca="false">SUMPRODUCT((Promenade!$B$2:$B$200=$A88)*(Promenade!$D$2:$D$200=$C88),Promenade!$E$2:$E$200)</f>
        <v>1</v>
      </c>
      <c r="E88" s="4" t="n">
        <f aca="false">SUMPRODUCT((Bedaya!$B$2:$B$200=$A88)*(Bedaya!$D$2:$D$200=$C88),Bedaya!$E$2:$E$200)</f>
        <v>1</v>
      </c>
      <c r="F88" s="5" t="n">
        <f aca="false">SUM(D88:E88)</f>
        <v>2</v>
      </c>
    </row>
    <row r="89" customFormat="false" ht="15" hidden="false" customHeight="false" outlineLevel="0" collapsed="false">
      <c r="A89" s="2" t="s">
        <v>69</v>
      </c>
      <c r="B89" s="2" t="s">
        <v>56</v>
      </c>
      <c r="C89" s="3" t="s">
        <v>16</v>
      </c>
      <c r="D89" s="4" t="n">
        <f aca="false">SUMPRODUCT((Promenade!$B$2:$B$200=$A89)*(Promenade!$D$2:$D$200=$C89),Promenade!$E$2:$E$200)</f>
        <v>0</v>
      </c>
      <c r="E89" s="4" t="n">
        <f aca="false">SUMPRODUCT((Bedaya!$B$2:$B$200=$A89)*(Bedaya!$D$2:$D$200=$C89),Bedaya!$E$2:$E$200)</f>
        <v>3</v>
      </c>
      <c r="F89" s="5" t="n">
        <f aca="false">SUM(D89:E89)</f>
        <v>3</v>
      </c>
    </row>
    <row r="90" customFormat="false" ht="15" hidden="false" customHeight="false" outlineLevel="0" collapsed="false">
      <c r="A90" s="2" t="s">
        <v>69</v>
      </c>
      <c r="B90" s="2" t="s">
        <v>56</v>
      </c>
      <c r="C90" s="3" t="s">
        <v>17</v>
      </c>
      <c r="D90" s="4" t="n">
        <f aca="false">SUMPRODUCT((Promenade!$B$2:$B$200=$A90)*(Promenade!$D$2:$D$200=$C90),Promenade!$E$2:$E$200)</f>
        <v>1</v>
      </c>
      <c r="E90" s="4" t="n">
        <f aca="false">SUMPRODUCT((Bedaya!$B$2:$B$200=$A90)*(Bedaya!$D$2:$D$200=$C90),Bedaya!$E$2:$E$200)</f>
        <v>1</v>
      </c>
      <c r="F90" s="5" t="n">
        <f aca="false">SUM(D90:E90)</f>
        <v>2</v>
      </c>
    </row>
    <row r="91" customFormat="false" ht="15" hidden="false" customHeight="false" outlineLevel="0" collapsed="false">
      <c r="A91" s="2" t="s">
        <v>70</v>
      </c>
      <c r="B91" s="2" t="s">
        <v>56</v>
      </c>
      <c r="C91" s="3" t="s">
        <v>16</v>
      </c>
      <c r="D91" s="4" t="n">
        <f aca="false">SUMPRODUCT((Promenade!$B$2:$B$200=$A91)*(Promenade!$D$2:$D$200=$C91),Promenade!$E$2:$E$200)</f>
        <v>8</v>
      </c>
      <c r="E91" s="4" t="n">
        <f aca="false">SUMPRODUCT((Bedaya!$B$2:$B$200=$A91)*(Bedaya!$D$2:$D$200=$C91),Bedaya!$E$2:$E$200)</f>
        <v>1</v>
      </c>
      <c r="F91" s="5" t="n">
        <f aca="false">SUM(D91:E91)</f>
        <v>9</v>
      </c>
    </row>
    <row r="92" customFormat="false" ht="15" hidden="false" customHeight="false" outlineLevel="0" collapsed="false">
      <c r="A92" s="2" t="s">
        <v>70</v>
      </c>
      <c r="B92" s="2" t="s">
        <v>56</v>
      </c>
      <c r="C92" s="3" t="s">
        <v>13</v>
      </c>
      <c r="D92" s="4" t="n">
        <f aca="false">SUMPRODUCT((Promenade!$B$2:$B$200=$A92)*(Promenade!$D$2:$D$200=$C92),Promenade!$E$2:$E$200)</f>
        <v>2</v>
      </c>
      <c r="E92" s="4" t="n">
        <f aca="false">SUMPRODUCT((Bedaya!$B$2:$B$200=$A92)*(Bedaya!$D$2:$D$200=$C92),Bedaya!$E$2:$E$200)</f>
        <v>1</v>
      </c>
      <c r="F92" s="5" t="n">
        <f aca="false">SUM(D92:E92)</f>
        <v>3</v>
      </c>
    </row>
    <row r="93" customFormat="false" ht="15" hidden="false" customHeight="false" outlineLevel="0" collapsed="false">
      <c r="A93" s="2" t="s">
        <v>70</v>
      </c>
      <c r="B93" s="2" t="s">
        <v>56</v>
      </c>
      <c r="C93" s="3" t="s">
        <v>14</v>
      </c>
      <c r="D93" s="4" t="n">
        <f aca="false">SUMPRODUCT((Promenade!$B$2:$B$200=$A93)*(Promenade!$D$2:$D$200=$C93),Promenade!$E$2:$E$200)</f>
        <v>0</v>
      </c>
      <c r="E93" s="4" t="n">
        <f aca="false">SUMPRODUCT((Bedaya!$B$2:$B$200=$A93)*(Bedaya!$D$2:$D$200=$C93),Bedaya!$E$2:$E$200)</f>
        <v>1</v>
      </c>
      <c r="F93" s="5" t="n">
        <f aca="false">SUM(D93:E93)</f>
        <v>1</v>
      </c>
    </row>
    <row r="94" customFormat="false" ht="15" hidden="false" customHeight="false" outlineLevel="0" collapsed="false">
      <c r="A94" s="2" t="s">
        <v>71</v>
      </c>
      <c r="B94" s="2" t="s">
        <v>56</v>
      </c>
      <c r="C94" s="3" t="s">
        <v>17</v>
      </c>
      <c r="D94" s="4" t="n">
        <f aca="false">SUMPRODUCT((Promenade!$B$2:$B$200=$A94)*(Promenade!$D$2:$D$200=$C94),Promenade!$E$2:$E$200)</f>
        <v>0</v>
      </c>
      <c r="E94" s="4" t="n">
        <f aca="false">SUMPRODUCT((Bedaya!$B$2:$B$200=$A94)*(Bedaya!$D$2:$D$200=$C94),Bedaya!$E$2:$E$200)</f>
        <v>1</v>
      </c>
      <c r="F94" s="5" t="n">
        <f aca="false">SUM(D94:E94)</f>
        <v>1</v>
      </c>
    </row>
    <row r="95" customFormat="false" ht="15" hidden="false" customHeight="false" outlineLevel="0" collapsed="false">
      <c r="A95" s="2" t="s">
        <v>71</v>
      </c>
      <c r="B95" s="2" t="s">
        <v>56</v>
      </c>
      <c r="C95" s="3" t="s">
        <v>13</v>
      </c>
      <c r="D95" s="4" t="n">
        <f aca="false">SUMPRODUCT((Promenade!$B$2:$B$200=$A95)*(Promenade!$D$2:$D$200=$C95),Promenade!$E$2:$E$200)</f>
        <v>0</v>
      </c>
      <c r="E95" s="4" t="n">
        <f aca="false">SUMPRODUCT((Bedaya!$B$2:$B$200=$A95)*(Bedaya!$D$2:$D$200=$C95),Bedaya!$E$2:$E$200)</f>
        <v>3</v>
      </c>
      <c r="F95" s="5" t="n">
        <f aca="false">SUM(D95:E95)</f>
        <v>3</v>
      </c>
    </row>
    <row r="96" customFormat="false" ht="15" hidden="false" customHeight="false" outlineLevel="0" collapsed="false">
      <c r="A96" s="2" t="s">
        <v>71</v>
      </c>
      <c r="B96" s="2" t="s">
        <v>56</v>
      </c>
      <c r="C96" s="3" t="s">
        <v>14</v>
      </c>
      <c r="D96" s="4" t="n">
        <f aca="false">SUMPRODUCT((Promenade!$B$2:$B$200=$A96)*(Promenade!$D$2:$D$200=$C96),Promenade!$E$2:$E$200)</f>
        <v>0</v>
      </c>
      <c r="E96" s="4" t="n">
        <f aca="false">SUMPRODUCT((Bedaya!$B$2:$B$200=$A96)*(Bedaya!$D$2:$D$200=$C96),Bedaya!$E$2:$E$200)</f>
        <v>1</v>
      </c>
      <c r="F96" s="5" t="n">
        <f aca="false">SUM(D96:E96)</f>
        <v>1</v>
      </c>
    </row>
    <row r="97" customFormat="false" ht="15" hidden="false" customHeight="false" outlineLevel="0" collapsed="false">
      <c r="A97" s="2" t="s">
        <v>62</v>
      </c>
      <c r="B97" s="2" t="s">
        <v>56</v>
      </c>
      <c r="C97" s="3" t="s">
        <v>72</v>
      </c>
      <c r="D97" s="4" t="n">
        <f aca="false">SUMPRODUCT((Promenade!$B$2:$B$200=$A97)*(Promenade!$D$2:$D$200=$C97),Promenade!$E$2:$E$200)</f>
        <v>6</v>
      </c>
      <c r="E97" s="4" t="n">
        <f aca="false">SUMPRODUCT((Bedaya!$B$2:$B$200=$A97)*(Bedaya!$D$2:$D$200=$C97),Bedaya!$E$2:$E$200)</f>
        <v>0</v>
      </c>
      <c r="F97" s="5" t="n">
        <f aca="false">SUM(D97:E97)</f>
        <v>6</v>
      </c>
    </row>
    <row r="98" customFormat="false" ht="15" hidden="false" customHeight="false" outlineLevel="0" collapsed="false">
      <c r="A98" s="2" t="s">
        <v>62</v>
      </c>
      <c r="B98" s="2" t="s">
        <v>56</v>
      </c>
      <c r="C98" s="3" t="s">
        <v>73</v>
      </c>
      <c r="D98" s="4" t="n">
        <f aca="false">SUMPRODUCT((Promenade!$B$2:$B$200=$A98)*(Promenade!$D$2:$D$200=$C98),Promenade!$E$2:$E$200)</f>
        <v>2</v>
      </c>
      <c r="E98" s="4" t="n">
        <f aca="false">SUMPRODUCT((Bedaya!$B$2:$B$200=$A98)*(Bedaya!$D$2:$D$200=$C98),Bedaya!$E$2:$E$200)</f>
        <v>0</v>
      </c>
      <c r="F98" s="5" t="n">
        <f aca="false">SUM(D98:E98)</f>
        <v>2</v>
      </c>
    </row>
    <row r="99" customFormat="false" ht="15" hidden="false" customHeight="false" outlineLevel="0" collapsed="false">
      <c r="A99" s="2" t="s">
        <v>74</v>
      </c>
      <c r="B99" s="2" t="s">
        <v>56</v>
      </c>
      <c r="C99" s="3" t="s">
        <v>63</v>
      </c>
      <c r="D99" s="4" t="n">
        <f aca="false">SUMPRODUCT((Promenade!$B$2:$B$200=$A99)*(Promenade!$D$2:$D$200=$C99),Promenade!$E$2:$E$200)</f>
        <v>1</v>
      </c>
      <c r="E99" s="4" t="n">
        <f aca="false">SUMPRODUCT((Bedaya!$B$2:$B$200=$A99)*(Bedaya!$D$2:$D$200=$C99),Bedaya!$E$2:$E$200)</f>
        <v>0</v>
      </c>
      <c r="F99" s="5" t="n">
        <f aca="false">SUM(D99:E99)</f>
        <v>1</v>
      </c>
    </row>
    <row r="100" customFormat="false" ht="15" hidden="false" customHeight="false" outlineLevel="0" collapsed="false">
      <c r="A100" s="2" t="s">
        <v>74</v>
      </c>
      <c r="B100" s="2" t="s">
        <v>56</v>
      </c>
      <c r="C100" s="3" t="s">
        <v>64</v>
      </c>
      <c r="D100" s="4" t="n">
        <f aca="false">SUMPRODUCT((Promenade!$B$2:$B$200=$A100)*(Promenade!$D$2:$D$200=$C100),Promenade!$E$2:$E$200)</f>
        <v>2</v>
      </c>
      <c r="E100" s="4" t="n">
        <f aca="false">SUMPRODUCT((Bedaya!$B$2:$B$200=$A100)*(Bedaya!$D$2:$D$200=$C100),Bedaya!$E$2:$E$200)</f>
        <v>0</v>
      </c>
      <c r="F100" s="5" t="n">
        <f aca="false">SUM(D100:E100)</f>
        <v>2</v>
      </c>
    </row>
    <row r="101" customFormat="false" ht="15" hidden="false" customHeight="false" outlineLevel="0" collapsed="false">
      <c r="A101" s="2" t="s">
        <v>74</v>
      </c>
      <c r="B101" s="2" t="s">
        <v>56</v>
      </c>
      <c r="C101" s="3" t="s">
        <v>65</v>
      </c>
      <c r="D101" s="4" t="n">
        <f aca="false">SUMPRODUCT((Promenade!$B$2:$B$200=$A101)*(Promenade!$D$2:$D$200=$C101),Promenade!$E$2:$E$200)</f>
        <v>1</v>
      </c>
      <c r="E101" s="4" t="n">
        <f aca="false">SUMPRODUCT((Bedaya!$B$2:$B$200=$A101)*(Bedaya!$D$2:$D$200=$C101),Bedaya!$E$2:$E$200)</f>
        <v>0</v>
      </c>
      <c r="F101" s="5" t="n">
        <f aca="false">SUM(D101:E101)</f>
        <v>1</v>
      </c>
    </row>
    <row r="102" customFormat="false" ht="15" hidden="false" customHeight="false" outlineLevel="0" collapsed="false">
      <c r="A102" s="2" t="s">
        <v>74</v>
      </c>
      <c r="B102" s="2" t="s">
        <v>56</v>
      </c>
      <c r="C102" s="3" t="s">
        <v>66</v>
      </c>
      <c r="D102" s="4" t="n">
        <f aca="false">SUMPRODUCT((Promenade!$B$2:$B$200=$A102)*(Promenade!$D$2:$D$200=$C102),Promenade!$E$2:$E$200)</f>
        <v>2</v>
      </c>
      <c r="E102" s="4" t="n">
        <f aca="false">SUMPRODUCT((Bedaya!$B$2:$B$200=$A102)*(Bedaya!$D$2:$D$200=$C102),Bedaya!$E$2:$E$200)</f>
        <v>0</v>
      </c>
      <c r="F102" s="5" t="n">
        <f aca="false">SUM(D102:E102)</f>
        <v>2</v>
      </c>
    </row>
    <row r="103" customFormat="false" ht="15" hidden="false" customHeight="false" outlineLevel="0" collapsed="false">
      <c r="A103" s="2" t="s">
        <v>75</v>
      </c>
      <c r="B103" s="2" t="s">
        <v>56</v>
      </c>
      <c r="C103" s="3" t="s">
        <v>17</v>
      </c>
      <c r="D103" s="4" t="n">
        <f aca="false">SUMPRODUCT((Promenade!$B$2:$B$200=$A103)*(Promenade!$D$2:$D$200=$C103),Promenade!$E$2:$E$200)</f>
        <v>2</v>
      </c>
      <c r="E103" s="4" t="n">
        <f aca="false">SUMPRODUCT((Bedaya!$B$2:$B$200=$A103)*(Bedaya!$D$2:$D$200=$C103),Bedaya!$E$2:$E$200)</f>
        <v>0</v>
      </c>
      <c r="F103" s="5" t="n">
        <f aca="false">SUM(D103:E103)</f>
        <v>2</v>
      </c>
    </row>
    <row r="104" customFormat="false" ht="15" hidden="false" customHeight="false" outlineLevel="0" collapsed="false">
      <c r="A104" s="2" t="s">
        <v>75</v>
      </c>
      <c r="B104" s="2" t="s">
        <v>56</v>
      </c>
      <c r="C104" s="3" t="s">
        <v>13</v>
      </c>
      <c r="D104" s="4" t="n">
        <f aca="false">SUMPRODUCT((Promenade!$B$2:$B$200=$A104)*(Promenade!$D$2:$D$200=$C104),Promenade!$E$2:$E$200)</f>
        <v>2</v>
      </c>
      <c r="E104" s="4" t="n">
        <f aca="false">SUMPRODUCT((Bedaya!$B$2:$B$200=$A104)*(Bedaya!$D$2:$D$200=$C104),Bedaya!$E$2:$E$200)</f>
        <v>0</v>
      </c>
      <c r="F104" s="5" t="n">
        <f aca="false">SUM(D104:E104)</f>
        <v>2</v>
      </c>
    </row>
    <row r="105" customFormat="false" ht="15" hidden="false" customHeight="false" outlineLevel="0" collapsed="false">
      <c r="A105" s="2" t="s">
        <v>76</v>
      </c>
      <c r="B105" s="2" t="s">
        <v>56</v>
      </c>
      <c r="C105" s="3" t="s">
        <v>27</v>
      </c>
      <c r="D105" s="4" t="n">
        <f aca="false">SUMPRODUCT((Promenade!$B$2:$B$200=$A105)*(Promenade!$D$2:$D$200=$C105),Promenade!$E$2:$E$200)</f>
        <v>1</v>
      </c>
      <c r="E105" s="4" t="n">
        <f aca="false">SUMPRODUCT((Bedaya!$B$2:$B$200=$A105)*(Bedaya!$D$2:$D$200=$C105),Bedaya!$E$2:$E$200)</f>
        <v>0</v>
      </c>
      <c r="F105" s="5" t="n">
        <f aca="false">SUM(D105:E105)</f>
        <v>1</v>
      </c>
    </row>
    <row r="106" customFormat="false" ht="15" hidden="false" customHeight="false" outlineLevel="0" collapsed="false">
      <c r="A106" s="2" t="s">
        <v>77</v>
      </c>
      <c r="B106" s="2" t="s">
        <v>56</v>
      </c>
      <c r="C106" s="3" t="s">
        <v>17</v>
      </c>
      <c r="D106" s="4" t="n">
        <f aca="false">SUMPRODUCT((Promenade!$B$2:$B$200=$A106)*(Promenade!$D$2:$D$200=$C106),Promenade!$E$2:$E$200)</f>
        <v>5</v>
      </c>
      <c r="E106" s="4" t="n">
        <f aca="false">SUMPRODUCT((Bedaya!$B$2:$B$200=$A106)*(Bedaya!$D$2:$D$200=$C106),Bedaya!$E$2:$E$200)</f>
        <v>0</v>
      </c>
      <c r="F106" s="5" t="n">
        <f aca="false">SUM(D106:E106)</f>
        <v>5</v>
      </c>
    </row>
    <row r="107" customFormat="false" ht="15" hidden="false" customHeight="false" outlineLevel="0" collapsed="false">
      <c r="A107" s="2" t="s">
        <v>77</v>
      </c>
      <c r="B107" s="2" t="s">
        <v>56</v>
      </c>
      <c r="C107" s="3" t="s">
        <v>13</v>
      </c>
      <c r="D107" s="4" t="n">
        <f aca="false">SUMPRODUCT((Promenade!$B$2:$B$200=$A107)*(Promenade!$D$2:$D$200=$C107),Promenade!$E$2:$E$200)</f>
        <v>2</v>
      </c>
      <c r="E107" s="4" t="n">
        <f aca="false">SUMPRODUCT((Bedaya!$B$2:$B$200=$A107)*(Bedaya!$D$2:$D$200=$C107),Bedaya!$E$2:$E$200)</f>
        <v>0</v>
      </c>
      <c r="F107" s="5" t="n">
        <f aca="false">SUM(D107:E107)</f>
        <v>2</v>
      </c>
    </row>
    <row r="108" customFormat="false" ht="15" hidden="false" customHeight="false" outlineLevel="0" collapsed="false">
      <c r="A108" s="2" t="s">
        <v>77</v>
      </c>
      <c r="B108" s="2" t="s">
        <v>56</v>
      </c>
      <c r="C108" s="3" t="s">
        <v>14</v>
      </c>
      <c r="D108" s="4" t="n">
        <f aca="false">SUMPRODUCT((Promenade!$B$2:$B$200=$A108)*(Promenade!$D$2:$D$200=$C108),Promenade!$E$2:$E$200)</f>
        <v>15</v>
      </c>
      <c r="E108" s="4" t="n">
        <f aca="false">SUMPRODUCT((Bedaya!$B$2:$B$200=$A108)*(Bedaya!$D$2:$D$200=$C108),Bedaya!$E$2:$E$200)</f>
        <v>0</v>
      </c>
      <c r="F108" s="5" t="n">
        <f aca="false">SUM(D108:E108)</f>
        <v>15</v>
      </c>
    </row>
    <row r="109" customFormat="false" ht="15" hidden="false" customHeight="false" outlineLevel="0" collapsed="false">
      <c r="A109" s="2" t="s">
        <v>77</v>
      </c>
      <c r="B109" s="2" t="s">
        <v>56</v>
      </c>
      <c r="C109" s="3" t="s">
        <v>57</v>
      </c>
      <c r="D109" s="4" t="n">
        <f aca="false">SUMPRODUCT((Promenade!$B$2:$B$200=$A109)*(Promenade!$D$2:$D$200=$C109),Promenade!$E$2:$E$200)</f>
        <v>6</v>
      </c>
      <c r="E109" s="4" t="n">
        <f aca="false">SUMPRODUCT((Bedaya!$B$2:$B$200=$A109)*(Bedaya!$D$2:$D$200=$C109),Bedaya!$E$2:$E$200)</f>
        <v>0</v>
      </c>
      <c r="F109" s="5" t="n">
        <f aca="false">SUM(D109:E109)</f>
        <v>6</v>
      </c>
    </row>
    <row r="110" customFormat="false" ht="15" hidden="false" customHeight="false" outlineLevel="0" collapsed="false">
      <c r="A110" s="2" t="s">
        <v>77</v>
      </c>
      <c r="B110" s="2" t="s">
        <v>56</v>
      </c>
      <c r="C110" s="3" t="s">
        <v>58</v>
      </c>
      <c r="D110" s="4" t="n">
        <f aca="false">SUMPRODUCT((Promenade!$B$2:$B$200=$A110)*(Promenade!$D$2:$D$200=$C110),Promenade!$E$2:$E$200)</f>
        <v>19</v>
      </c>
      <c r="E110" s="4" t="n">
        <f aca="false">SUMPRODUCT((Bedaya!$B$2:$B$200=$A110)*(Bedaya!$D$2:$D$200=$C110),Bedaya!$E$2:$E$200)</f>
        <v>0</v>
      </c>
      <c r="F110" s="5" t="n">
        <f aca="false">SUM(D110:E110)</f>
        <v>19</v>
      </c>
    </row>
    <row r="111" customFormat="false" ht="15" hidden="false" customHeight="false" outlineLevel="0" collapsed="false">
      <c r="A111" s="2" t="s">
        <v>77</v>
      </c>
      <c r="B111" s="2" t="s">
        <v>56</v>
      </c>
      <c r="C111" s="3" t="s">
        <v>59</v>
      </c>
      <c r="D111" s="4" t="n">
        <f aca="false">SUMPRODUCT((Promenade!$B$2:$B$200=$A111)*(Promenade!$D$2:$D$200=$C111),Promenade!$E$2:$E$200)</f>
        <v>20</v>
      </c>
      <c r="E111" s="4" t="n">
        <f aca="false">SUMPRODUCT((Bedaya!$B$2:$B$200=$A111)*(Bedaya!$D$2:$D$200=$C111),Bedaya!$E$2:$E$200)</f>
        <v>0</v>
      </c>
      <c r="F111" s="5" t="n">
        <f aca="false">SUM(D111:E111)</f>
        <v>20</v>
      </c>
    </row>
    <row r="112" customFormat="false" ht="15" hidden="false" customHeight="false" outlineLevel="0" collapsed="false">
      <c r="A112" s="2" t="s">
        <v>70</v>
      </c>
      <c r="B112" s="2" t="s">
        <v>56</v>
      </c>
      <c r="C112" s="3" t="s">
        <v>78</v>
      </c>
      <c r="D112" s="4" t="n">
        <f aca="false">SUMPRODUCT((Promenade!$B$2:$B$200=$A112)*(Promenade!$D$2:$D$200=$C112),Promenade!$E$2:$E$200)</f>
        <v>2</v>
      </c>
      <c r="E112" s="4" t="n">
        <f aca="false">SUMPRODUCT((Bedaya!$B$2:$B$200=$A112)*(Bedaya!$D$2:$D$200=$C112),Bedaya!$E$2:$E$200)</f>
        <v>0</v>
      </c>
      <c r="F112" s="5" t="n">
        <f aca="false">SUM(D112:E112)</f>
        <v>2</v>
      </c>
    </row>
    <row r="113" customFormat="false" ht="15" hidden="false" customHeight="false" outlineLevel="0" collapsed="false">
      <c r="A113" s="2" t="s">
        <v>70</v>
      </c>
      <c r="B113" s="2" t="s">
        <v>56</v>
      </c>
      <c r="C113" s="3" t="s">
        <v>32</v>
      </c>
      <c r="D113" s="4" t="n">
        <f aca="false">SUMPRODUCT((Promenade!$B$2:$B$200=$A113)*(Promenade!$D$2:$D$200=$C113),Promenade!$E$2:$E$200)</f>
        <v>3</v>
      </c>
      <c r="E113" s="4" t="n">
        <f aca="false">SUMPRODUCT((Bedaya!$B$2:$B$200=$A113)*(Bedaya!$D$2:$D$200=$C113),Bedaya!$E$2:$E$200)</f>
        <v>0</v>
      </c>
      <c r="F113" s="5" t="n">
        <f aca="false">SUM(D113:E113)</f>
        <v>3</v>
      </c>
    </row>
    <row r="114" customFormat="false" ht="15" hidden="false" customHeight="false" outlineLevel="0" collapsed="false">
      <c r="A114" s="2" t="s">
        <v>70</v>
      </c>
      <c r="B114" s="2" t="s">
        <v>56</v>
      </c>
      <c r="C114" s="3" t="s">
        <v>17</v>
      </c>
      <c r="D114" s="4" t="n">
        <f aca="false">SUMPRODUCT((Promenade!$B$2:$B$200=$A114)*(Promenade!$D$2:$D$200=$C114),Promenade!$E$2:$E$200)</f>
        <v>2</v>
      </c>
      <c r="E114" s="4" t="n">
        <f aca="false">SUMPRODUCT((Bedaya!$B$2:$B$200=$A114)*(Bedaya!$D$2:$D$200=$C114),Bedaya!$E$2:$E$200)</f>
        <v>0</v>
      </c>
      <c r="F114" s="5" t="n">
        <f aca="false">SUM(D114:E114)</f>
        <v>2</v>
      </c>
    </row>
    <row r="115" customFormat="false" ht="15" hidden="false" customHeight="false" outlineLevel="0" collapsed="false">
      <c r="A115" s="2" t="s">
        <v>79</v>
      </c>
      <c r="B115" s="2" t="s">
        <v>56</v>
      </c>
      <c r="C115" s="3" t="s">
        <v>80</v>
      </c>
      <c r="D115" s="4" t="n">
        <f aca="false">SUMPRODUCT((Promenade!$B$2:$B$200=$A115)*(Promenade!$D$2:$D$200=$C115),Promenade!$E$2:$E$200)</f>
        <v>2</v>
      </c>
      <c r="E115" s="4" t="n">
        <f aca="false">SUMPRODUCT((Bedaya!$B$2:$B$200=$A115)*(Bedaya!$D$2:$D$200=$C115),Bedaya!$E$2:$E$200)</f>
        <v>0</v>
      </c>
      <c r="F115" s="5" t="n">
        <f aca="false">SUM(D115:E115)</f>
        <v>2</v>
      </c>
    </row>
    <row r="116" customFormat="false" ht="15" hidden="false" customHeight="false" outlineLevel="0" collapsed="false">
      <c r="A116" s="2" t="s">
        <v>79</v>
      </c>
      <c r="B116" s="2" t="s">
        <v>56</v>
      </c>
      <c r="C116" s="3" t="s">
        <v>81</v>
      </c>
      <c r="D116" s="4" t="n">
        <f aca="false">SUMPRODUCT((Promenade!$B$2:$B$200=$A116)*(Promenade!$D$2:$D$200=$C116),Promenade!$E$2:$E$200)</f>
        <v>1</v>
      </c>
      <c r="E116" s="4" t="n">
        <f aca="false">SUMPRODUCT((Bedaya!$B$2:$B$200=$A116)*(Bedaya!$D$2:$D$200=$C116),Bedaya!$E$2:$E$200)</f>
        <v>0</v>
      </c>
      <c r="F116" s="5" t="n">
        <f aca="false">SUM(D116:E116)</f>
        <v>1</v>
      </c>
    </row>
    <row r="117" customFormat="false" ht="15" hidden="false" customHeight="false" outlineLevel="0" collapsed="false">
      <c r="A117" s="2" t="s">
        <v>79</v>
      </c>
      <c r="B117" s="2" t="s">
        <v>56</v>
      </c>
      <c r="C117" s="3" t="s">
        <v>82</v>
      </c>
      <c r="D117" s="4" t="n">
        <f aca="false">SUMPRODUCT((Promenade!$B$2:$B$200=$A117)*(Promenade!$D$2:$D$200=$C117),Promenade!$E$2:$E$200)</f>
        <v>2</v>
      </c>
      <c r="E117" s="4" t="n">
        <f aca="false">SUMPRODUCT((Bedaya!$B$2:$B$200=$A117)*(Bedaya!$D$2:$D$200=$C117),Bedaya!$E$2:$E$200)</f>
        <v>0</v>
      </c>
      <c r="F117" s="5" t="n">
        <f aca="false">SUM(D117:E117)</f>
        <v>2</v>
      </c>
    </row>
    <row r="118" customFormat="false" ht="15" hidden="false" customHeight="false" outlineLevel="0" collapsed="false">
      <c r="A118" s="2" t="s">
        <v>79</v>
      </c>
      <c r="B118" s="2" t="s">
        <v>56</v>
      </c>
      <c r="C118" s="3" t="s">
        <v>83</v>
      </c>
      <c r="D118" s="4" t="n">
        <f aca="false">SUMPRODUCT((Promenade!$B$2:$B$200=$A118)*(Promenade!$D$2:$D$200=$C118),Promenade!$E$2:$E$200)</f>
        <v>1</v>
      </c>
      <c r="E118" s="4" t="n">
        <f aca="false">SUMPRODUCT((Bedaya!$B$2:$B$200=$A118)*(Bedaya!$D$2:$D$200=$C118),Bedaya!$E$2:$E$200)</f>
        <v>0</v>
      </c>
      <c r="F118" s="5" t="n">
        <f aca="false">SUM(D118:E118)</f>
        <v>1</v>
      </c>
    </row>
    <row r="119" customFormat="false" ht="15" hidden="false" customHeight="false" outlineLevel="0" collapsed="false">
      <c r="A119" s="2" t="s">
        <v>79</v>
      </c>
      <c r="B119" s="2" t="s">
        <v>56</v>
      </c>
      <c r="C119" s="3" t="s">
        <v>84</v>
      </c>
      <c r="D119" s="4" t="n">
        <f aca="false">SUMPRODUCT((Promenade!$B$2:$B$200=$A119)*(Promenade!$D$2:$D$200=$C119),Promenade!$E$2:$E$200)</f>
        <v>1</v>
      </c>
      <c r="E119" s="4" t="n">
        <f aca="false">SUMPRODUCT((Bedaya!$B$2:$B$200=$A119)*(Bedaya!$D$2:$D$200=$C119),Bedaya!$E$2:$E$200)</f>
        <v>0</v>
      </c>
      <c r="F119" s="5" t="n">
        <f aca="false">SUM(D119:E119)</f>
        <v>1</v>
      </c>
    </row>
    <row r="120" customFormat="false" ht="15" hidden="false" customHeight="false" outlineLevel="0" collapsed="false">
      <c r="A120" s="2" t="s">
        <v>79</v>
      </c>
      <c r="B120" s="2" t="s">
        <v>56</v>
      </c>
      <c r="C120" s="3" t="s">
        <v>85</v>
      </c>
      <c r="D120" s="4" t="n">
        <f aca="false">SUMPRODUCT((Promenade!$B$2:$B$200=$A120)*(Promenade!$D$2:$D$200=$C120),Promenade!$E$2:$E$200)</f>
        <v>2</v>
      </c>
      <c r="E120" s="4" t="n">
        <f aca="false">SUMPRODUCT((Bedaya!$B$2:$B$200=$A120)*(Bedaya!$D$2:$D$200=$C120),Bedaya!$E$2:$E$200)</f>
        <v>0</v>
      </c>
      <c r="F120" s="5" t="n">
        <f aca="false">SUM(D120:E120)</f>
        <v>2</v>
      </c>
    </row>
    <row r="121" customFormat="false" ht="15" hidden="false" customHeight="false" outlineLevel="0" collapsed="false">
      <c r="A121" s="2" t="s">
        <v>86</v>
      </c>
      <c r="B121" s="2" t="s">
        <v>56</v>
      </c>
      <c r="C121" s="3" t="s">
        <v>87</v>
      </c>
      <c r="D121" s="4" t="n">
        <f aca="false">SUMPRODUCT((Promenade!$B$2:$B$200=$A121)*(Promenade!$D$2:$D$200=$C121),Promenade!$E$2:$E$200)</f>
        <v>26</v>
      </c>
      <c r="E121" s="4" t="n">
        <f aca="false">SUMPRODUCT((Bedaya!$B$2:$B$200=$A121)*(Bedaya!$D$2:$D$200=$C121),Bedaya!$E$2:$E$200)</f>
        <v>0</v>
      </c>
      <c r="F121" s="5" t="n">
        <f aca="false">SUM(D121:E121)</f>
        <v>26</v>
      </c>
    </row>
    <row r="122" customFormat="false" ht="15" hidden="false" customHeight="false" outlineLevel="0" collapsed="false">
      <c r="A122" s="2" t="s">
        <v>86</v>
      </c>
      <c r="B122" s="2" t="s">
        <v>56</v>
      </c>
      <c r="C122" s="3" t="s">
        <v>88</v>
      </c>
      <c r="D122" s="4" t="n">
        <f aca="false">SUMPRODUCT((Promenade!$B$2:$B$200=$A122)*(Promenade!$D$2:$D$200=$C122),Promenade!$E$2:$E$200)</f>
        <v>14</v>
      </c>
      <c r="E122" s="4" t="n">
        <f aca="false">SUMPRODUCT((Bedaya!$B$2:$B$200=$A122)*(Bedaya!$D$2:$D$200=$C122),Bedaya!$E$2:$E$200)</f>
        <v>0</v>
      </c>
      <c r="F122" s="5" t="n">
        <f aca="false">SUM(D122:E122)</f>
        <v>14</v>
      </c>
    </row>
    <row r="123" customFormat="false" ht="15" hidden="false" customHeight="false" outlineLevel="0" collapsed="false">
      <c r="A123" s="2" t="s">
        <v>89</v>
      </c>
      <c r="B123" s="2" t="s">
        <v>90</v>
      </c>
      <c r="C123" s="3" t="s">
        <v>27</v>
      </c>
      <c r="D123" s="4" t="n">
        <f aca="false">SUMPRODUCT((Promenade!$B$2:$B$200=$A123)*(Promenade!$D$2:$D$200=$C123),Promenade!$E$2:$E$200)</f>
        <v>6</v>
      </c>
      <c r="E123" s="4" t="n">
        <f aca="false">SUMPRODUCT((Bedaya!$B$2:$B$200=$A123)*(Bedaya!$D$2:$D$200=$C123),Bedaya!$E$2:$E$200)</f>
        <v>25</v>
      </c>
      <c r="F123" s="5" t="n">
        <f aca="false">SUM(D123:E123)</f>
        <v>31</v>
      </c>
    </row>
    <row r="124" customFormat="false" ht="15" hidden="false" customHeight="false" outlineLevel="0" collapsed="false">
      <c r="A124" s="2" t="s">
        <v>91</v>
      </c>
      <c r="B124" s="2" t="s">
        <v>90</v>
      </c>
      <c r="C124" s="3" t="s">
        <v>27</v>
      </c>
      <c r="D124" s="4" t="n">
        <f aca="false">SUMPRODUCT((Promenade!$B$2:$B$200=$A124)*(Promenade!$D$2:$D$200=$C124),Promenade!$E$2:$E$200)</f>
        <v>6</v>
      </c>
      <c r="E124" s="4" t="n">
        <f aca="false">SUMPRODUCT((Bedaya!$B$2:$B$200=$A124)*(Bedaya!$D$2:$D$200=$C124),Bedaya!$E$2:$E$200)</f>
        <v>26</v>
      </c>
      <c r="F124" s="5" t="n">
        <f aca="false">SUM(D124:E124)</f>
        <v>32</v>
      </c>
    </row>
    <row r="125" customFormat="false" ht="15" hidden="false" customHeight="false" outlineLevel="0" collapsed="false">
      <c r="A125" s="2" t="s">
        <v>92</v>
      </c>
      <c r="B125" s="2" t="s">
        <v>93</v>
      </c>
      <c r="C125" s="3" t="s">
        <v>45</v>
      </c>
      <c r="D125" s="4" t="n">
        <f aca="false">SUMPRODUCT((Promenade!$B$2:$B$200=$A125)*(Promenade!$D$2:$D$200=$C125),Promenade!$E$2:$E$200)</f>
        <v>1</v>
      </c>
      <c r="E125" s="4" t="n">
        <f aca="false">SUMPRODUCT((Bedaya!$B$2:$B$200=$A125)*(Bedaya!$D$2:$D$200=$C125),Bedaya!$E$2:$E$200)</f>
        <v>0</v>
      </c>
      <c r="F125" s="5" t="n">
        <f aca="false">SUM(D125:E125)</f>
        <v>1</v>
      </c>
    </row>
    <row r="126" customFormat="false" ht="15" hidden="false" customHeight="false" outlineLevel="0" collapsed="false">
      <c r="A126" s="2" t="s">
        <v>92</v>
      </c>
      <c r="B126" s="2" t="s">
        <v>93</v>
      </c>
      <c r="C126" s="3" t="s">
        <v>44</v>
      </c>
      <c r="D126" s="4" t="n">
        <f aca="false">SUMPRODUCT((Promenade!$B$2:$B$200=$A126)*(Promenade!$D$2:$D$200=$C126),Promenade!$E$2:$E$200)</f>
        <v>1</v>
      </c>
      <c r="E126" s="4" t="n">
        <f aca="false">SUMPRODUCT((Bedaya!$B$2:$B$200=$A126)*(Bedaya!$D$2:$D$200=$C126),Bedaya!$E$2:$E$200)</f>
        <v>0</v>
      </c>
      <c r="F126" s="5" t="n">
        <f aca="false">SUM(D126:E126)</f>
        <v>1</v>
      </c>
    </row>
    <row r="128" customFormat="false" ht="15" hidden="false" customHeight="false" outlineLevel="0" collapsed="false">
      <c r="A128" s="6" t="s">
        <v>94</v>
      </c>
    </row>
  </sheetData>
  <autoFilter ref="A1:F126"/>
  <conditionalFormatting sqref="F2:F126">
    <cfRule type="cellIs" priority="2" operator="equal" aboveAverage="0" equalAverage="0" bottom="0" percent="0" rank="0" text="" dxfId="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8"/>
    <col collapsed="false" customWidth="true" hidden="false" outlineLevel="0" max="4" min="4" style="0" width="20"/>
    <col collapsed="false" customWidth="true" hidden="false" outlineLevel="0" max="5" min="5" style="0" width="12"/>
    <col collapsed="false" customWidth="true" hidden="false" outlineLevel="0" max="6" min="6" style="0" width="8"/>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60"/>
  </cols>
  <sheetData>
    <row r="1" customFormat="false" ht="30" hidden="false" customHeight="true" outlineLevel="0" collapsed="false">
      <c r="A1" s="1" t="s">
        <v>95</v>
      </c>
      <c r="B1" s="1" t="s">
        <v>0</v>
      </c>
      <c r="C1" s="1" t="s">
        <v>1</v>
      </c>
      <c r="D1" s="1" t="s">
        <v>2</v>
      </c>
      <c r="E1" s="1" t="s">
        <v>96</v>
      </c>
      <c r="F1" s="1" t="s">
        <v>97</v>
      </c>
      <c r="G1" s="1" t="s">
        <v>98</v>
      </c>
      <c r="H1" s="1" t="s">
        <v>99</v>
      </c>
      <c r="I1" s="1" t="s">
        <v>100</v>
      </c>
      <c r="J1" s="1" t="s">
        <v>101</v>
      </c>
    </row>
    <row r="2" customFormat="false" ht="23.85" hidden="false" customHeight="false" outlineLevel="0" collapsed="false">
      <c r="A2" s="2" t="s">
        <v>3</v>
      </c>
      <c r="B2" s="2" t="s">
        <v>91</v>
      </c>
      <c r="C2" s="2" t="s">
        <v>90</v>
      </c>
      <c r="D2" s="3" t="s">
        <v>27</v>
      </c>
      <c r="E2" s="7" t="n">
        <v>6</v>
      </c>
      <c r="F2" s="7" t="s">
        <v>102</v>
      </c>
      <c r="G2" s="7"/>
      <c r="H2" s="8"/>
      <c r="I2" s="9" t="str">
        <f aca="false">IF(OR(E2="",H2=""),"",E2*H2)</f>
        <v/>
      </c>
      <c r="J2" s="10" t="s">
        <v>103</v>
      </c>
    </row>
    <row r="3" customFormat="false" ht="23.85" hidden="false" customHeight="false" outlineLevel="0" collapsed="false">
      <c r="A3" s="2" t="s">
        <v>3</v>
      </c>
      <c r="B3" s="2" t="s">
        <v>89</v>
      </c>
      <c r="C3" s="2" t="s">
        <v>90</v>
      </c>
      <c r="D3" s="3" t="s">
        <v>27</v>
      </c>
      <c r="E3" s="7" t="n">
        <v>6</v>
      </c>
      <c r="F3" s="7" t="s">
        <v>102</v>
      </c>
      <c r="G3" s="7"/>
      <c r="H3" s="8"/>
      <c r="I3" s="9" t="str">
        <f aca="false">IF(OR(E3="",H3=""),"",E3*H3)</f>
        <v/>
      </c>
      <c r="J3" s="10" t="s">
        <v>104</v>
      </c>
    </row>
    <row r="4" customFormat="false" ht="15" hidden="false" customHeight="false" outlineLevel="0" collapsed="false">
      <c r="A4" s="2" t="s">
        <v>3</v>
      </c>
      <c r="B4" s="2" t="s">
        <v>18</v>
      </c>
      <c r="C4" s="2" t="s">
        <v>7</v>
      </c>
      <c r="D4" s="3" t="s">
        <v>22</v>
      </c>
      <c r="E4" s="7" t="n">
        <v>2</v>
      </c>
      <c r="F4" s="7" t="s">
        <v>105</v>
      </c>
      <c r="G4" s="7"/>
      <c r="H4" s="8"/>
      <c r="I4" s="9" t="str">
        <f aca="false">IF(OR(E4="",H4=""),"",E4*H4)</f>
        <v/>
      </c>
      <c r="J4" s="10" t="s">
        <v>106</v>
      </c>
    </row>
    <row r="5" customFormat="false" ht="15" hidden="false" customHeight="false" outlineLevel="0" collapsed="false">
      <c r="A5" s="2" t="s">
        <v>3</v>
      </c>
      <c r="B5" s="2" t="s">
        <v>18</v>
      </c>
      <c r="C5" s="2" t="s">
        <v>7</v>
      </c>
      <c r="D5" s="3" t="s">
        <v>21</v>
      </c>
      <c r="E5" s="7" t="n">
        <v>2</v>
      </c>
      <c r="F5" s="7" t="s">
        <v>105</v>
      </c>
      <c r="G5" s="7"/>
      <c r="H5" s="8"/>
      <c r="I5" s="9" t="str">
        <f aca="false">IF(OR(E5="",H5=""),"",E5*H5)</f>
        <v/>
      </c>
      <c r="J5" s="10" t="s">
        <v>106</v>
      </c>
    </row>
    <row r="6" customFormat="false" ht="15" hidden="false" customHeight="false" outlineLevel="0" collapsed="false">
      <c r="A6" s="2" t="s">
        <v>3</v>
      </c>
      <c r="B6" s="2" t="s">
        <v>18</v>
      </c>
      <c r="C6" s="2" t="s">
        <v>7</v>
      </c>
      <c r="D6" s="3" t="s">
        <v>20</v>
      </c>
      <c r="E6" s="7" t="n">
        <v>2</v>
      </c>
      <c r="F6" s="7" t="s">
        <v>105</v>
      </c>
      <c r="G6" s="7"/>
      <c r="H6" s="8"/>
      <c r="I6" s="9" t="str">
        <f aca="false">IF(OR(E6="",H6=""),"",E6*H6)</f>
        <v/>
      </c>
      <c r="J6" s="10" t="s">
        <v>106</v>
      </c>
    </row>
    <row r="7" customFormat="false" ht="15" hidden="false" customHeight="false" outlineLevel="0" collapsed="false">
      <c r="A7" s="2" t="s">
        <v>3</v>
      </c>
      <c r="B7" s="2" t="s">
        <v>18</v>
      </c>
      <c r="C7" s="2" t="s">
        <v>7</v>
      </c>
      <c r="D7" s="3" t="s">
        <v>19</v>
      </c>
      <c r="E7" s="7" t="n">
        <v>1</v>
      </c>
      <c r="F7" s="7" t="s">
        <v>105</v>
      </c>
      <c r="G7" s="7"/>
      <c r="H7" s="8"/>
      <c r="I7" s="9" t="str">
        <f aca="false">IF(OR(E7="",H7=""),"",E7*H7)</f>
        <v/>
      </c>
      <c r="J7" s="10" t="s">
        <v>106</v>
      </c>
    </row>
    <row r="8" customFormat="false" ht="15" hidden="false" customHeight="false" outlineLevel="0" collapsed="false">
      <c r="A8" s="2" t="s">
        <v>3</v>
      </c>
      <c r="B8" s="2" t="s">
        <v>15</v>
      </c>
      <c r="C8" s="2" t="s">
        <v>7</v>
      </c>
      <c r="D8" s="3" t="s">
        <v>9</v>
      </c>
      <c r="E8" s="7" t="n">
        <v>2</v>
      </c>
      <c r="F8" s="7" t="s">
        <v>105</v>
      </c>
      <c r="G8" s="7"/>
      <c r="H8" s="8"/>
      <c r="I8" s="9" t="str">
        <f aca="false">IF(OR(E8="",H8=""),"",E8*H8)</f>
        <v/>
      </c>
      <c r="J8" s="10" t="s">
        <v>106</v>
      </c>
    </row>
    <row r="9" customFormat="false" ht="15" hidden="false" customHeight="false" outlineLevel="0" collapsed="false">
      <c r="A9" s="2" t="s">
        <v>3</v>
      </c>
      <c r="B9" s="2" t="s">
        <v>15</v>
      </c>
      <c r="C9" s="2" t="s">
        <v>7</v>
      </c>
      <c r="D9" s="3" t="s">
        <v>14</v>
      </c>
      <c r="E9" s="7" t="n">
        <v>1</v>
      </c>
      <c r="F9" s="7" t="s">
        <v>105</v>
      </c>
      <c r="G9" s="7"/>
      <c r="H9" s="8"/>
      <c r="I9" s="9" t="str">
        <f aca="false">IF(OR(E9="",H9=""),"",E9*H9)</f>
        <v/>
      </c>
      <c r="J9" s="10" t="s">
        <v>106</v>
      </c>
    </row>
    <row r="10" customFormat="false" ht="23.85" hidden="false" customHeight="false" outlineLevel="0" collapsed="false">
      <c r="A10" s="2" t="s">
        <v>3</v>
      </c>
      <c r="B10" s="2" t="s">
        <v>15</v>
      </c>
      <c r="C10" s="2" t="s">
        <v>7</v>
      </c>
      <c r="D10" s="3" t="s">
        <v>13</v>
      </c>
      <c r="E10" s="11" t="n">
        <f aca="false">2</f>
        <v>2</v>
      </c>
      <c r="F10" s="7" t="s">
        <v>105</v>
      </c>
      <c r="G10" s="7"/>
      <c r="H10" s="8"/>
      <c r="I10" s="9" t="str">
        <f aca="false">IF(OR(E10="",H10=""),"",E10*H10)</f>
        <v/>
      </c>
      <c r="J10" s="10" t="s">
        <v>107</v>
      </c>
    </row>
    <row r="11" customFormat="false" ht="23.85" hidden="false" customHeight="false" outlineLevel="0" collapsed="false">
      <c r="A11" s="2" t="s">
        <v>3</v>
      </c>
      <c r="B11" s="2" t="s">
        <v>15</v>
      </c>
      <c r="C11" s="2" t="s">
        <v>7</v>
      </c>
      <c r="D11" s="3" t="s">
        <v>17</v>
      </c>
      <c r="E11" s="7" t="n">
        <f aca="false">2+2</f>
        <v>4</v>
      </c>
      <c r="F11" s="7" t="s">
        <v>105</v>
      </c>
      <c r="G11" s="7"/>
      <c r="H11" s="8"/>
      <c r="I11" s="9" t="str">
        <f aca="false">IF(OR(E11="",H11=""),"",E11*H11)</f>
        <v/>
      </c>
      <c r="J11" s="10" t="s">
        <v>108</v>
      </c>
    </row>
    <row r="12" customFormat="false" ht="15" hidden="false" customHeight="false" outlineLevel="0" collapsed="false">
      <c r="A12" s="2" t="s">
        <v>3</v>
      </c>
      <c r="B12" s="2" t="s">
        <v>15</v>
      </c>
      <c r="C12" s="2" t="s">
        <v>7</v>
      </c>
      <c r="D12" s="3" t="s">
        <v>16</v>
      </c>
      <c r="E12" s="7" t="n">
        <v>2</v>
      </c>
      <c r="F12" s="7" t="s">
        <v>105</v>
      </c>
      <c r="G12" s="7"/>
      <c r="H12" s="8"/>
      <c r="I12" s="9" t="str">
        <f aca="false">IF(OR(E12="",H12=""),"",E12*H12)</f>
        <v/>
      </c>
      <c r="J12" s="10" t="s">
        <v>106</v>
      </c>
    </row>
    <row r="13" customFormat="false" ht="23.85" hidden="false" customHeight="false" outlineLevel="0" collapsed="false">
      <c r="A13" s="2" t="s">
        <v>3</v>
      </c>
      <c r="B13" s="2" t="s">
        <v>62</v>
      </c>
      <c r="C13" s="2" t="s">
        <v>56</v>
      </c>
      <c r="D13" s="3" t="s">
        <v>64</v>
      </c>
      <c r="E13" s="7" t="n">
        <v>5</v>
      </c>
      <c r="F13" s="7" t="s">
        <v>102</v>
      </c>
      <c r="G13" s="7"/>
      <c r="H13" s="8"/>
      <c r="I13" s="9" t="str">
        <f aca="false">IF(OR(E13="",H13=""),"",E13*H13)</f>
        <v/>
      </c>
      <c r="J13" s="10" t="s">
        <v>109</v>
      </c>
    </row>
    <row r="14" customFormat="false" ht="23.85" hidden="false" customHeight="false" outlineLevel="0" collapsed="false">
      <c r="A14" s="2" t="s">
        <v>3</v>
      </c>
      <c r="B14" s="2" t="s">
        <v>62</v>
      </c>
      <c r="C14" s="2" t="s">
        <v>56</v>
      </c>
      <c r="D14" s="3" t="s">
        <v>72</v>
      </c>
      <c r="E14" s="7" t="n">
        <v>6</v>
      </c>
      <c r="F14" s="7" t="s">
        <v>102</v>
      </c>
      <c r="G14" s="7"/>
      <c r="H14" s="8"/>
      <c r="I14" s="9" t="str">
        <f aca="false">IF(OR(E14="",H14=""),"",E14*H14)</f>
        <v/>
      </c>
      <c r="J14" s="10" t="s">
        <v>109</v>
      </c>
    </row>
    <row r="15" customFormat="false" ht="23.85" hidden="false" customHeight="false" outlineLevel="0" collapsed="false">
      <c r="A15" s="2" t="s">
        <v>3</v>
      </c>
      <c r="B15" s="2" t="s">
        <v>62</v>
      </c>
      <c r="C15" s="2" t="s">
        <v>56</v>
      </c>
      <c r="D15" s="3" t="s">
        <v>73</v>
      </c>
      <c r="E15" s="7" t="n">
        <v>2</v>
      </c>
      <c r="F15" s="7" t="s">
        <v>102</v>
      </c>
      <c r="G15" s="7"/>
      <c r="H15" s="8"/>
      <c r="I15" s="9" t="str">
        <f aca="false">IF(OR(E15="",H15=""),"",E15*H15)</f>
        <v/>
      </c>
      <c r="J15" s="10" t="s">
        <v>109</v>
      </c>
    </row>
    <row r="16" customFormat="false" ht="23.85" hidden="false" customHeight="false" outlineLevel="0" collapsed="false">
      <c r="A16" s="2" t="s">
        <v>3</v>
      </c>
      <c r="B16" s="2" t="s">
        <v>62</v>
      </c>
      <c r="C16" s="2" t="s">
        <v>56</v>
      </c>
      <c r="D16" s="3" t="s">
        <v>65</v>
      </c>
      <c r="E16" s="7" t="n">
        <v>2</v>
      </c>
      <c r="F16" s="7" t="s">
        <v>102</v>
      </c>
      <c r="G16" s="7"/>
      <c r="H16" s="8"/>
      <c r="I16" s="9" t="str">
        <f aca="false">IF(OR(E16="",H16=""),"",E16*H16)</f>
        <v/>
      </c>
      <c r="J16" s="10" t="s">
        <v>109</v>
      </c>
    </row>
    <row r="17" customFormat="false" ht="23.85" hidden="false" customHeight="false" outlineLevel="0" collapsed="false">
      <c r="A17" s="2" t="s">
        <v>3</v>
      </c>
      <c r="B17" s="2" t="s">
        <v>62</v>
      </c>
      <c r="C17" s="2" t="s">
        <v>56</v>
      </c>
      <c r="D17" s="3" t="s">
        <v>66</v>
      </c>
      <c r="E17" s="7" t="n">
        <v>8</v>
      </c>
      <c r="F17" s="7" t="s">
        <v>102</v>
      </c>
      <c r="G17" s="7"/>
      <c r="H17" s="8"/>
      <c r="I17" s="9" t="str">
        <f aca="false">IF(OR(E17="",H17=""),"",E17*H17)</f>
        <v/>
      </c>
      <c r="J17" s="10" t="s">
        <v>109</v>
      </c>
    </row>
    <row r="18" customFormat="false" ht="23.85" hidden="false" customHeight="false" outlineLevel="0" collapsed="false">
      <c r="A18" s="2" t="s">
        <v>3</v>
      </c>
      <c r="B18" s="2" t="s">
        <v>74</v>
      </c>
      <c r="C18" s="2" t="s">
        <v>56</v>
      </c>
      <c r="D18" s="3" t="s">
        <v>63</v>
      </c>
      <c r="E18" s="7" t="n">
        <v>1</v>
      </c>
      <c r="F18" s="7" t="s">
        <v>102</v>
      </c>
      <c r="G18" s="7"/>
      <c r="H18" s="8"/>
      <c r="I18" s="9" t="str">
        <f aca="false">IF(OR(E18="",H18=""),"",E18*H18)</f>
        <v/>
      </c>
      <c r="J18" s="10" t="s">
        <v>110</v>
      </c>
    </row>
    <row r="19" customFormat="false" ht="23.85" hidden="false" customHeight="false" outlineLevel="0" collapsed="false">
      <c r="A19" s="2" t="s">
        <v>3</v>
      </c>
      <c r="B19" s="2" t="s">
        <v>74</v>
      </c>
      <c r="C19" s="2" t="s">
        <v>56</v>
      </c>
      <c r="D19" s="3" t="s">
        <v>64</v>
      </c>
      <c r="E19" s="7" t="n">
        <v>2</v>
      </c>
      <c r="F19" s="7" t="s">
        <v>102</v>
      </c>
      <c r="G19" s="7"/>
      <c r="H19" s="8"/>
      <c r="I19" s="9" t="str">
        <f aca="false">IF(OR(E19="",H19=""),"",E19*H19)</f>
        <v/>
      </c>
      <c r="J19" s="10" t="s">
        <v>110</v>
      </c>
    </row>
    <row r="20" customFormat="false" ht="23.85" hidden="false" customHeight="false" outlineLevel="0" collapsed="false">
      <c r="A20" s="2" t="s">
        <v>3</v>
      </c>
      <c r="B20" s="2" t="s">
        <v>74</v>
      </c>
      <c r="C20" s="2" t="s">
        <v>56</v>
      </c>
      <c r="D20" s="3" t="s">
        <v>65</v>
      </c>
      <c r="E20" s="7" t="n">
        <v>1</v>
      </c>
      <c r="F20" s="7" t="s">
        <v>102</v>
      </c>
      <c r="G20" s="7"/>
      <c r="H20" s="8"/>
      <c r="I20" s="9" t="str">
        <f aca="false">IF(OR(E20="",H20=""),"",E20*H20)</f>
        <v/>
      </c>
      <c r="J20" s="10" t="s">
        <v>110</v>
      </c>
    </row>
    <row r="21" customFormat="false" ht="23.85" hidden="false" customHeight="false" outlineLevel="0" collapsed="false">
      <c r="A21" s="2" t="s">
        <v>3</v>
      </c>
      <c r="B21" s="2" t="s">
        <v>74</v>
      </c>
      <c r="C21" s="2" t="s">
        <v>56</v>
      </c>
      <c r="D21" s="3" t="s">
        <v>66</v>
      </c>
      <c r="E21" s="7" t="n">
        <v>2</v>
      </c>
      <c r="F21" s="7" t="s">
        <v>102</v>
      </c>
      <c r="G21" s="7"/>
      <c r="H21" s="8"/>
      <c r="I21" s="9" t="str">
        <f aca="false">IF(OR(E21="",H21=""),"",E21*H21)</f>
        <v/>
      </c>
      <c r="J21" s="10" t="s">
        <v>110</v>
      </c>
    </row>
    <row r="22" customFormat="false" ht="23.85" hidden="false" customHeight="false" outlineLevel="0" collapsed="false">
      <c r="A22" s="2" t="s">
        <v>3</v>
      </c>
      <c r="B22" s="2" t="s">
        <v>69</v>
      </c>
      <c r="C22" s="2" t="s">
        <v>56</v>
      </c>
      <c r="D22" s="3" t="s">
        <v>17</v>
      </c>
      <c r="E22" s="7" t="n">
        <v>1</v>
      </c>
      <c r="F22" s="7" t="s">
        <v>102</v>
      </c>
      <c r="G22" s="7"/>
      <c r="H22" s="8"/>
      <c r="I22" s="9" t="str">
        <f aca="false">IF(OR(E22="",H22=""),"",E22*H22)</f>
        <v/>
      </c>
      <c r="J22" s="10" t="s">
        <v>111</v>
      </c>
    </row>
    <row r="23" customFormat="false" ht="23.85" hidden="false" customHeight="false" outlineLevel="0" collapsed="false">
      <c r="A23" s="2" t="s">
        <v>3</v>
      </c>
      <c r="B23" s="2" t="s">
        <v>75</v>
      </c>
      <c r="C23" s="2" t="s">
        <v>56</v>
      </c>
      <c r="D23" s="3" t="s">
        <v>17</v>
      </c>
      <c r="E23" s="7" t="n">
        <v>2</v>
      </c>
      <c r="F23" s="7" t="s">
        <v>102</v>
      </c>
      <c r="G23" s="7"/>
      <c r="H23" s="8"/>
      <c r="I23" s="9" t="str">
        <f aca="false">IF(OR(E23="",H23=""),"",E23*H23)</f>
        <v/>
      </c>
      <c r="J23" s="10" t="s">
        <v>112</v>
      </c>
    </row>
    <row r="24" customFormat="false" ht="23.85" hidden="false" customHeight="false" outlineLevel="0" collapsed="false">
      <c r="A24" s="2" t="s">
        <v>3</v>
      </c>
      <c r="B24" s="2" t="s">
        <v>75</v>
      </c>
      <c r="C24" s="2" t="s">
        <v>56</v>
      </c>
      <c r="D24" s="3" t="s">
        <v>13</v>
      </c>
      <c r="E24" s="7" t="n">
        <v>2</v>
      </c>
      <c r="F24" s="7" t="s">
        <v>102</v>
      </c>
      <c r="G24" s="7"/>
      <c r="H24" s="8"/>
      <c r="I24" s="9" t="str">
        <f aca="false">IF(OR(E24="",H24=""),"",E24*H24)</f>
        <v/>
      </c>
      <c r="J24" s="10" t="s">
        <v>113</v>
      </c>
    </row>
    <row r="25" customFormat="false" ht="23.85" hidden="false" customHeight="false" outlineLevel="0" collapsed="false">
      <c r="A25" s="2" t="s">
        <v>3</v>
      </c>
      <c r="B25" s="2" t="s">
        <v>68</v>
      </c>
      <c r="C25" s="2" t="s">
        <v>56</v>
      </c>
      <c r="D25" s="3" t="s">
        <v>13</v>
      </c>
      <c r="E25" s="7" t="n">
        <v>1</v>
      </c>
      <c r="F25" s="7" t="s">
        <v>102</v>
      </c>
      <c r="G25" s="7"/>
      <c r="H25" s="8"/>
      <c r="I25" s="9" t="str">
        <f aca="false">IF(OR(E25="",H25=""),"",E25*H25)</f>
        <v/>
      </c>
      <c r="J25" s="10" t="s">
        <v>113</v>
      </c>
    </row>
    <row r="26" customFormat="false" ht="23.85" hidden="false" customHeight="false" outlineLevel="0" collapsed="false">
      <c r="A26" s="2" t="s">
        <v>3</v>
      </c>
      <c r="B26" s="2" t="s">
        <v>76</v>
      </c>
      <c r="C26" s="2" t="s">
        <v>56</v>
      </c>
      <c r="D26" s="3" t="s">
        <v>27</v>
      </c>
      <c r="E26" s="7" t="n">
        <v>1</v>
      </c>
      <c r="F26" s="7" t="s">
        <v>102</v>
      </c>
      <c r="G26" s="7"/>
      <c r="H26" s="8"/>
      <c r="I26" s="9" t="str">
        <f aca="false">IF(OR(E26="",H26=""),"",E26*H26)</f>
        <v/>
      </c>
      <c r="J26" s="10" t="s">
        <v>113</v>
      </c>
    </row>
    <row r="27" customFormat="false" ht="23.85" hidden="false" customHeight="false" outlineLevel="0" collapsed="false">
      <c r="A27" s="2" t="s">
        <v>3</v>
      </c>
      <c r="B27" s="2" t="s">
        <v>26</v>
      </c>
      <c r="C27" s="2" t="s">
        <v>7</v>
      </c>
      <c r="D27" s="3" t="s">
        <v>27</v>
      </c>
      <c r="E27" s="7" t="n">
        <v>1</v>
      </c>
      <c r="F27" s="7" t="s">
        <v>102</v>
      </c>
      <c r="G27" s="7"/>
      <c r="H27" s="8"/>
      <c r="I27" s="9" t="str">
        <f aca="false">IF(OR(E27="",H27=""),"",E27*H27)</f>
        <v/>
      </c>
      <c r="J27" s="10" t="s">
        <v>114</v>
      </c>
    </row>
    <row r="28" customFormat="false" ht="23.85" hidden="false" customHeight="false" outlineLevel="0" collapsed="false">
      <c r="A28" s="2" t="s">
        <v>3</v>
      </c>
      <c r="B28" s="2" t="s">
        <v>28</v>
      </c>
      <c r="C28" s="2" t="s">
        <v>7</v>
      </c>
      <c r="D28" s="3" t="s">
        <v>20</v>
      </c>
      <c r="E28" s="7" t="n">
        <v>3</v>
      </c>
      <c r="F28" s="7" t="s">
        <v>105</v>
      </c>
      <c r="G28" s="7"/>
      <c r="H28" s="8"/>
      <c r="I28" s="9" t="str">
        <f aca="false">IF(OR(E28="",H28=""),"",E28*H28)</f>
        <v/>
      </c>
      <c r="J28" s="10" t="s">
        <v>115</v>
      </c>
    </row>
    <row r="29" customFormat="false" ht="23.85" hidden="false" customHeight="false" outlineLevel="0" collapsed="false">
      <c r="A29" s="2" t="s">
        <v>3</v>
      </c>
      <c r="B29" s="2" t="s">
        <v>28</v>
      </c>
      <c r="C29" s="2" t="s">
        <v>7</v>
      </c>
      <c r="D29" s="3" t="s">
        <v>21</v>
      </c>
      <c r="E29" s="7" t="n">
        <v>1</v>
      </c>
      <c r="F29" s="7" t="s">
        <v>105</v>
      </c>
      <c r="G29" s="7"/>
      <c r="H29" s="8"/>
      <c r="I29" s="9" t="str">
        <f aca="false">IF(OR(E29="",H29=""),"",E29*H29)</f>
        <v/>
      </c>
      <c r="J29" s="10" t="s">
        <v>115</v>
      </c>
    </row>
    <row r="30" customFormat="false" ht="23.85" hidden="false" customHeight="false" outlineLevel="0" collapsed="false">
      <c r="A30" s="2" t="s">
        <v>3</v>
      </c>
      <c r="B30" s="2" t="s">
        <v>29</v>
      </c>
      <c r="C30" s="2" t="s">
        <v>7</v>
      </c>
      <c r="D30" s="3" t="s">
        <v>17</v>
      </c>
      <c r="E30" s="7" t="n">
        <v>3</v>
      </c>
      <c r="F30" s="7" t="s">
        <v>105</v>
      </c>
      <c r="G30" s="7"/>
      <c r="H30" s="8"/>
      <c r="I30" s="9" t="str">
        <f aca="false">IF(OR(E30="",H30=""),"",E30*H30)</f>
        <v/>
      </c>
      <c r="J30" s="10" t="s">
        <v>115</v>
      </c>
    </row>
    <row r="31" customFormat="false" ht="23.85" hidden="false" customHeight="false" outlineLevel="0" collapsed="false">
      <c r="A31" s="2" t="s">
        <v>3</v>
      </c>
      <c r="B31" s="2" t="s">
        <v>30</v>
      </c>
      <c r="C31" s="2" t="s">
        <v>7</v>
      </c>
      <c r="D31" s="3" t="s">
        <v>13</v>
      </c>
      <c r="E31" s="7" t="n">
        <v>23</v>
      </c>
      <c r="F31" s="7" t="s">
        <v>105</v>
      </c>
      <c r="G31" s="7"/>
      <c r="H31" s="8"/>
      <c r="I31" s="9" t="str">
        <f aca="false">IF(OR(E31="",H31=""),"",E31*H31)</f>
        <v/>
      </c>
      <c r="J31" s="10" t="s">
        <v>116</v>
      </c>
    </row>
    <row r="32" customFormat="false" ht="23.85" hidden="false" customHeight="false" outlineLevel="0" collapsed="false">
      <c r="A32" s="2" t="s">
        <v>3</v>
      </c>
      <c r="B32" s="2" t="s">
        <v>30</v>
      </c>
      <c r="C32" s="2" t="s">
        <v>7</v>
      </c>
      <c r="D32" s="3" t="s">
        <v>17</v>
      </c>
      <c r="E32" s="11"/>
      <c r="F32" s="7" t="s">
        <v>105</v>
      </c>
      <c r="G32" s="7"/>
      <c r="H32" s="8"/>
      <c r="I32" s="9" t="str">
        <f aca="false">IF(OR(E32="",H32=""),"",E32*H32)</f>
        <v/>
      </c>
      <c r="J32" s="10" t="s">
        <v>117</v>
      </c>
    </row>
    <row r="33" customFormat="false" ht="23.85" hidden="false" customHeight="false" outlineLevel="0" collapsed="false">
      <c r="A33" s="2" t="s">
        <v>3</v>
      </c>
      <c r="B33" s="2" t="s">
        <v>30</v>
      </c>
      <c r="C33" s="2" t="s">
        <v>7</v>
      </c>
      <c r="D33" s="3" t="s">
        <v>14</v>
      </c>
      <c r="E33" s="11"/>
      <c r="F33" s="7" t="s">
        <v>105</v>
      </c>
      <c r="G33" s="7"/>
      <c r="H33" s="8"/>
      <c r="I33" s="9" t="str">
        <f aca="false">IF(OR(E33="",H33=""),"",E33*H33)</f>
        <v/>
      </c>
      <c r="J33" s="10" t="s">
        <v>117</v>
      </c>
    </row>
    <row r="34" customFormat="false" ht="23.85" hidden="false" customHeight="false" outlineLevel="0" collapsed="false">
      <c r="A34" s="2" t="s">
        <v>3</v>
      </c>
      <c r="B34" s="2" t="s">
        <v>31</v>
      </c>
      <c r="C34" s="2" t="s">
        <v>7</v>
      </c>
      <c r="D34" s="3" t="s">
        <v>17</v>
      </c>
      <c r="E34" s="7" t="n">
        <v>3</v>
      </c>
      <c r="F34" s="7" t="s">
        <v>105</v>
      </c>
      <c r="G34" s="7"/>
      <c r="H34" s="8"/>
      <c r="I34" s="9" t="str">
        <f aca="false">IF(OR(E34="",H34=""),"",E34*H34)</f>
        <v/>
      </c>
      <c r="J34" s="10" t="s">
        <v>118</v>
      </c>
    </row>
    <row r="35" customFormat="false" ht="23.85" hidden="false" customHeight="false" outlineLevel="0" collapsed="false">
      <c r="A35" s="2" t="s">
        <v>3</v>
      </c>
      <c r="B35" s="2" t="s">
        <v>49</v>
      </c>
      <c r="C35" s="2" t="s">
        <v>35</v>
      </c>
      <c r="D35" s="3" t="s">
        <v>50</v>
      </c>
      <c r="E35" s="7" t="n">
        <v>1</v>
      </c>
      <c r="F35" s="7" t="s">
        <v>102</v>
      </c>
      <c r="G35" s="7"/>
      <c r="H35" s="8"/>
      <c r="I35" s="9" t="str">
        <f aca="false">IF(OR(E35="",H35=""),"",E35*H35)</f>
        <v/>
      </c>
      <c r="J35" s="10" t="s">
        <v>119</v>
      </c>
    </row>
    <row r="36" customFormat="false" ht="23.85" hidden="false" customHeight="false" outlineLevel="0" collapsed="false">
      <c r="A36" s="2" t="s">
        <v>3</v>
      </c>
      <c r="B36" s="2" t="s">
        <v>49</v>
      </c>
      <c r="C36" s="2" t="s">
        <v>35</v>
      </c>
      <c r="D36" s="3" t="s">
        <v>51</v>
      </c>
      <c r="E36" s="7" t="n">
        <v>1</v>
      </c>
      <c r="F36" s="7" t="s">
        <v>102</v>
      </c>
      <c r="G36" s="7"/>
      <c r="H36" s="8"/>
      <c r="I36" s="9" t="str">
        <f aca="false">IF(OR(E36="",H36=""),"",E36*H36)</f>
        <v/>
      </c>
      <c r="J36" s="10" t="s">
        <v>120</v>
      </c>
    </row>
    <row r="37" customFormat="false" ht="23.85" hidden="false" customHeight="false" outlineLevel="0" collapsed="false">
      <c r="A37" s="2" t="s">
        <v>3</v>
      </c>
      <c r="B37" s="2" t="s">
        <v>49</v>
      </c>
      <c r="C37" s="2" t="s">
        <v>35</v>
      </c>
      <c r="D37" s="3" t="s">
        <v>52</v>
      </c>
      <c r="E37" s="7" t="n">
        <v>1</v>
      </c>
      <c r="F37" s="7" t="s">
        <v>102</v>
      </c>
      <c r="G37" s="7"/>
      <c r="H37" s="8"/>
      <c r="I37" s="9" t="str">
        <f aca="false">IF(OR(E37="",H37=""),"",E37*H37)</f>
        <v/>
      </c>
      <c r="J37" s="10" t="s">
        <v>119</v>
      </c>
    </row>
    <row r="38" customFormat="false" ht="15" hidden="false" customHeight="false" outlineLevel="0" collapsed="false">
      <c r="A38" s="2" t="s">
        <v>3</v>
      </c>
      <c r="B38" s="2" t="s">
        <v>77</v>
      </c>
      <c r="C38" s="2" t="s">
        <v>56</v>
      </c>
      <c r="D38" s="3" t="s">
        <v>17</v>
      </c>
      <c r="E38" s="7" t="n">
        <v>5</v>
      </c>
      <c r="F38" s="7" t="s">
        <v>102</v>
      </c>
      <c r="G38" s="7"/>
      <c r="H38" s="8"/>
      <c r="I38" s="9" t="str">
        <f aca="false">IF(OR(E38="",H38=""),"",E38*H38)</f>
        <v/>
      </c>
      <c r="J38" s="10" t="s">
        <v>121</v>
      </c>
    </row>
    <row r="39" customFormat="false" ht="15" hidden="false" customHeight="false" outlineLevel="0" collapsed="false">
      <c r="A39" s="2" t="s">
        <v>3</v>
      </c>
      <c r="B39" s="2" t="s">
        <v>77</v>
      </c>
      <c r="C39" s="2" t="s">
        <v>56</v>
      </c>
      <c r="D39" s="3" t="s">
        <v>13</v>
      </c>
      <c r="E39" s="7" t="n">
        <v>2</v>
      </c>
      <c r="F39" s="7" t="s">
        <v>102</v>
      </c>
      <c r="G39" s="7"/>
      <c r="H39" s="8"/>
      <c r="I39" s="9" t="str">
        <f aca="false">IF(OR(E39="",H39=""),"",E39*H39)</f>
        <v/>
      </c>
      <c r="J39" s="10" t="s">
        <v>121</v>
      </c>
    </row>
    <row r="40" customFormat="false" ht="15" hidden="false" customHeight="false" outlineLevel="0" collapsed="false">
      <c r="A40" s="2" t="s">
        <v>3</v>
      </c>
      <c r="B40" s="2" t="s">
        <v>77</v>
      </c>
      <c r="C40" s="2" t="s">
        <v>56</v>
      </c>
      <c r="D40" s="3" t="s">
        <v>14</v>
      </c>
      <c r="E40" s="7" t="n">
        <v>15</v>
      </c>
      <c r="F40" s="7" t="s">
        <v>102</v>
      </c>
      <c r="G40" s="7"/>
      <c r="H40" s="8"/>
      <c r="I40" s="9" t="str">
        <f aca="false">IF(OR(E40="",H40=""),"",E40*H40)</f>
        <v/>
      </c>
      <c r="J40" s="10" t="s">
        <v>121</v>
      </c>
    </row>
    <row r="41" customFormat="false" ht="23.85" hidden="false" customHeight="false" outlineLevel="0" collapsed="false">
      <c r="A41" s="2" t="s">
        <v>3</v>
      </c>
      <c r="B41" s="2" t="s">
        <v>77</v>
      </c>
      <c r="C41" s="2" t="s">
        <v>56</v>
      </c>
      <c r="D41" s="3" t="s">
        <v>57</v>
      </c>
      <c r="E41" s="7" t="n">
        <v>6</v>
      </c>
      <c r="F41" s="7" t="s">
        <v>102</v>
      </c>
      <c r="G41" s="7"/>
      <c r="H41" s="8"/>
      <c r="I41" s="9" t="str">
        <f aca="false">IF(OR(E41="",H41=""),"",E41*H41)</f>
        <v/>
      </c>
      <c r="J41" s="10" t="s">
        <v>122</v>
      </c>
    </row>
    <row r="42" customFormat="false" ht="23.85" hidden="false" customHeight="false" outlineLevel="0" collapsed="false">
      <c r="A42" s="2" t="s">
        <v>3</v>
      </c>
      <c r="B42" s="2" t="s">
        <v>77</v>
      </c>
      <c r="C42" s="2" t="s">
        <v>56</v>
      </c>
      <c r="D42" s="3" t="s">
        <v>58</v>
      </c>
      <c r="E42" s="7" t="n">
        <v>19</v>
      </c>
      <c r="F42" s="7" t="s">
        <v>102</v>
      </c>
      <c r="G42" s="7"/>
      <c r="H42" s="8"/>
      <c r="I42" s="9" t="str">
        <f aca="false">IF(OR(E42="",H42=""),"",E42*H42)</f>
        <v/>
      </c>
      <c r="J42" s="10" t="s">
        <v>122</v>
      </c>
    </row>
    <row r="43" customFormat="false" ht="23.85" hidden="false" customHeight="false" outlineLevel="0" collapsed="false">
      <c r="A43" s="2" t="s">
        <v>3</v>
      </c>
      <c r="B43" s="2" t="s">
        <v>77</v>
      </c>
      <c r="C43" s="2" t="s">
        <v>56</v>
      </c>
      <c r="D43" s="3" t="s">
        <v>59</v>
      </c>
      <c r="E43" s="7" t="n">
        <v>20</v>
      </c>
      <c r="F43" s="7" t="s">
        <v>102</v>
      </c>
      <c r="G43" s="7"/>
      <c r="H43" s="8"/>
      <c r="I43" s="9" t="str">
        <f aca="false">IF(OR(E43="",H43=""),"",E43*H43)</f>
        <v/>
      </c>
      <c r="J43" s="10" t="s">
        <v>122</v>
      </c>
    </row>
    <row r="44" customFormat="false" ht="15" hidden="false" customHeight="false" outlineLevel="0" collapsed="false">
      <c r="A44" s="2" t="s">
        <v>3</v>
      </c>
      <c r="B44" s="2" t="s">
        <v>70</v>
      </c>
      <c r="C44" s="2" t="s">
        <v>56</v>
      </c>
      <c r="D44" s="3" t="s">
        <v>78</v>
      </c>
      <c r="E44" s="7" t="n">
        <v>2</v>
      </c>
      <c r="F44" s="7" t="s">
        <v>102</v>
      </c>
      <c r="G44" s="7"/>
      <c r="H44" s="8"/>
      <c r="I44" s="9" t="str">
        <f aca="false">IF(OR(E44="",H44=""),"",E44*H44)</f>
        <v/>
      </c>
      <c r="J44" s="10" t="s">
        <v>121</v>
      </c>
    </row>
    <row r="45" customFormat="false" ht="23.85" hidden="false" customHeight="false" outlineLevel="0" collapsed="false">
      <c r="A45" s="2" t="s">
        <v>3</v>
      </c>
      <c r="B45" s="2" t="s">
        <v>70</v>
      </c>
      <c r="C45" s="2" t="s">
        <v>56</v>
      </c>
      <c r="D45" s="3" t="s">
        <v>32</v>
      </c>
      <c r="E45" s="7" t="n">
        <v>3</v>
      </c>
      <c r="F45" s="7" t="s">
        <v>102</v>
      </c>
      <c r="G45" s="7"/>
      <c r="H45" s="8"/>
      <c r="I45" s="9" t="str">
        <f aca="false">IF(OR(E45="",H45=""),"",E45*H45)</f>
        <v/>
      </c>
      <c r="J45" s="10" t="s">
        <v>123</v>
      </c>
    </row>
    <row r="46" customFormat="false" ht="15" hidden="false" customHeight="false" outlineLevel="0" collapsed="false">
      <c r="A46" s="2" t="s">
        <v>3</v>
      </c>
      <c r="B46" s="2" t="s">
        <v>70</v>
      </c>
      <c r="C46" s="2" t="s">
        <v>56</v>
      </c>
      <c r="D46" s="3" t="s">
        <v>16</v>
      </c>
      <c r="E46" s="7" t="n">
        <v>8</v>
      </c>
      <c r="F46" s="7" t="s">
        <v>102</v>
      </c>
      <c r="G46" s="7"/>
      <c r="H46" s="8"/>
      <c r="I46" s="9" t="str">
        <f aca="false">IF(OR(E46="",H46=""),"",E46*H46)</f>
        <v/>
      </c>
      <c r="J46" s="10" t="s">
        <v>121</v>
      </c>
    </row>
    <row r="47" customFormat="false" ht="15" hidden="false" customHeight="false" outlineLevel="0" collapsed="false">
      <c r="A47" s="2" t="s">
        <v>3</v>
      </c>
      <c r="B47" s="2" t="s">
        <v>70</v>
      </c>
      <c r="C47" s="2" t="s">
        <v>56</v>
      </c>
      <c r="D47" s="3" t="s">
        <v>17</v>
      </c>
      <c r="E47" s="7" t="n">
        <v>2</v>
      </c>
      <c r="F47" s="7" t="s">
        <v>102</v>
      </c>
      <c r="G47" s="7"/>
      <c r="H47" s="8"/>
      <c r="I47" s="9" t="str">
        <f aca="false">IF(OR(E47="",H47=""),"",E47*H47)</f>
        <v/>
      </c>
      <c r="J47" s="10" t="s">
        <v>121</v>
      </c>
    </row>
    <row r="48" customFormat="false" ht="15" hidden="false" customHeight="false" outlineLevel="0" collapsed="false">
      <c r="A48" s="2" t="s">
        <v>3</v>
      </c>
      <c r="B48" s="2" t="s">
        <v>70</v>
      </c>
      <c r="C48" s="2" t="s">
        <v>56</v>
      </c>
      <c r="D48" s="3" t="s">
        <v>13</v>
      </c>
      <c r="E48" s="7" t="n">
        <v>2</v>
      </c>
      <c r="F48" s="7" t="s">
        <v>102</v>
      </c>
      <c r="G48" s="7"/>
      <c r="H48" s="8"/>
      <c r="I48" s="9" t="str">
        <f aca="false">IF(OR(E48="",H48=""),"",E48*H48)</f>
        <v/>
      </c>
      <c r="J48" s="10" t="s">
        <v>121</v>
      </c>
    </row>
    <row r="49" customFormat="false" ht="23.85" hidden="false" customHeight="false" outlineLevel="0" collapsed="false">
      <c r="A49" s="2" t="s">
        <v>3</v>
      </c>
      <c r="B49" s="2" t="s">
        <v>70</v>
      </c>
      <c r="C49" s="2" t="s">
        <v>56</v>
      </c>
      <c r="D49" s="3" t="s">
        <v>14</v>
      </c>
      <c r="E49" s="11"/>
      <c r="F49" s="7" t="s">
        <v>102</v>
      </c>
      <c r="G49" s="7"/>
      <c r="H49" s="8"/>
      <c r="I49" s="9" t="str">
        <f aca="false">IF(OR(E49="",H49=""),"",E49*H49)</f>
        <v/>
      </c>
      <c r="J49" s="10" t="s">
        <v>124</v>
      </c>
    </row>
    <row r="50" customFormat="false" ht="23.85" hidden="false" customHeight="false" outlineLevel="0" collapsed="false">
      <c r="A50" s="2" t="s">
        <v>3</v>
      </c>
      <c r="B50" s="2" t="s">
        <v>79</v>
      </c>
      <c r="C50" s="2" t="s">
        <v>56</v>
      </c>
      <c r="D50" s="3" t="s">
        <v>80</v>
      </c>
      <c r="E50" s="7" t="n">
        <v>2</v>
      </c>
      <c r="F50" s="7" t="s">
        <v>102</v>
      </c>
      <c r="G50" s="7"/>
      <c r="H50" s="8"/>
      <c r="I50" s="9" t="str">
        <f aca="false">IF(OR(E50="",H50=""),"",E50*H50)</f>
        <v/>
      </c>
      <c r="J50" s="10" t="s">
        <v>125</v>
      </c>
    </row>
    <row r="51" customFormat="false" ht="23.85" hidden="false" customHeight="false" outlineLevel="0" collapsed="false">
      <c r="A51" s="2" t="s">
        <v>3</v>
      </c>
      <c r="B51" s="2" t="s">
        <v>79</v>
      </c>
      <c r="C51" s="2" t="s">
        <v>56</v>
      </c>
      <c r="D51" s="3" t="s">
        <v>81</v>
      </c>
      <c r="E51" s="7" t="n">
        <v>1</v>
      </c>
      <c r="F51" s="7" t="s">
        <v>102</v>
      </c>
      <c r="G51" s="7"/>
      <c r="H51" s="8"/>
      <c r="I51" s="9" t="str">
        <f aca="false">IF(OR(E51="",H51=""),"",E51*H51)</f>
        <v/>
      </c>
      <c r="J51" s="10" t="s">
        <v>126</v>
      </c>
    </row>
    <row r="52" customFormat="false" ht="23.85" hidden="false" customHeight="false" outlineLevel="0" collapsed="false">
      <c r="A52" s="2" t="s">
        <v>3</v>
      </c>
      <c r="B52" s="2" t="s">
        <v>79</v>
      </c>
      <c r="C52" s="2" t="s">
        <v>56</v>
      </c>
      <c r="D52" s="3" t="s">
        <v>82</v>
      </c>
      <c r="E52" s="7" t="n">
        <v>2</v>
      </c>
      <c r="F52" s="7" t="s">
        <v>102</v>
      </c>
      <c r="G52" s="7"/>
      <c r="H52" s="8"/>
      <c r="I52" s="9" t="str">
        <f aca="false">IF(OR(E52="",H52=""),"",E52*H52)</f>
        <v/>
      </c>
      <c r="J52" s="10" t="s">
        <v>126</v>
      </c>
    </row>
    <row r="53" customFormat="false" ht="23.85" hidden="false" customHeight="false" outlineLevel="0" collapsed="false">
      <c r="A53" s="2" t="s">
        <v>3</v>
      </c>
      <c r="B53" s="2" t="s">
        <v>79</v>
      </c>
      <c r="C53" s="2" t="s">
        <v>56</v>
      </c>
      <c r="D53" s="3" t="s">
        <v>83</v>
      </c>
      <c r="E53" s="7" t="n">
        <v>1</v>
      </c>
      <c r="F53" s="7" t="s">
        <v>102</v>
      </c>
      <c r="G53" s="7"/>
      <c r="H53" s="8"/>
      <c r="I53" s="9" t="str">
        <f aca="false">IF(OR(E53="",H53=""),"",E53*H53)</f>
        <v/>
      </c>
      <c r="J53" s="10" t="s">
        <v>126</v>
      </c>
    </row>
    <row r="54" customFormat="false" ht="23.85" hidden="false" customHeight="false" outlineLevel="0" collapsed="false">
      <c r="A54" s="2" t="s">
        <v>3</v>
      </c>
      <c r="B54" s="2" t="s">
        <v>79</v>
      </c>
      <c r="C54" s="2" t="s">
        <v>56</v>
      </c>
      <c r="D54" s="3" t="s">
        <v>84</v>
      </c>
      <c r="E54" s="7" t="n">
        <v>1</v>
      </c>
      <c r="F54" s="7" t="s">
        <v>102</v>
      </c>
      <c r="G54" s="7"/>
      <c r="H54" s="8"/>
      <c r="I54" s="9" t="str">
        <f aca="false">IF(OR(E54="",H54=""),"",E54*H54)</f>
        <v/>
      </c>
      <c r="J54" s="10" t="s">
        <v>126</v>
      </c>
    </row>
    <row r="55" customFormat="false" ht="23.85" hidden="false" customHeight="false" outlineLevel="0" collapsed="false">
      <c r="A55" s="2" t="s">
        <v>3</v>
      </c>
      <c r="B55" s="2" t="s">
        <v>79</v>
      </c>
      <c r="C55" s="2" t="s">
        <v>56</v>
      </c>
      <c r="D55" s="3" t="s">
        <v>85</v>
      </c>
      <c r="E55" s="7" t="n">
        <v>2</v>
      </c>
      <c r="F55" s="7" t="s">
        <v>102</v>
      </c>
      <c r="G55" s="7"/>
      <c r="H55" s="8"/>
      <c r="I55" s="9" t="str">
        <f aca="false">IF(OR(E55="",H55=""),"",E55*H55)</f>
        <v/>
      </c>
      <c r="J55" s="10" t="s">
        <v>126</v>
      </c>
    </row>
    <row r="56" customFormat="false" ht="23.85" hidden="false" customHeight="false" outlineLevel="0" collapsed="false">
      <c r="A56" s="2" t="s">
        <v>3</v>
      </c>
      <c r="B56" s="2" t="s">
        <v>53</v>
      </c>
      <c r="C56" s="2" t="s">
        <v>35</v>
      </c>
      <c r="D56" s="3" t="s">
        <v>45</v>
      </c>
      <c r="E56" s="7" t="n">
        <v>1</v>
      </c>
      <c r="F56" s="7" t="s">
        <v>102</v>
      </c>
      <c r="G56" s="7"/>
      <c r="H56" s="8"/>
      <c r="I56" s="9" t="str">
        <f aca="false">IF(OR(E56="",H56=""),"",E56*H56)</f>
        <v/>
      </c>
      <c r="J56" s="10" t="s">
        <v>127</v>
      </c>
    </row>
    <row r="57" customFormat="false" ht="23.85" hidden="false" customHeight="false" outlineLevel="0" collapsed="false">
      <c r="A57" s="2" t="s">
        <v>3</v>
      </c>
      <c r="B57" s="2" t="s">
        <v>53</v>
      </c>
      <c r="C57" s="2" t="s">
        <v>35</v>
      </c>
      <c r="D57" s="3" t="s">
        <v>46</v>
      </c>
      <c r="E57" s="7" t="n">
        <v>9</v>
      </c>
      <c r="F57" s="7" t="s">
        <v>102</v>
      </c>
      <c r="G57" s="7"/>
      <c r="H57" s="8"/>
      <c r="I57" s="9" t="str">
        <f aca="false">IF(OR(E57="",H57=""),"",E57*H57)</f>
        <v/>
      </c>
      <c r="J57" s="10" t="s">
        <v>127</v>
      </c>
    </row>
    <row r="58" customFormat="false" ht="15" hidden="false" customHeight="false" outlineLevel="0" collapsed="false">
      <c r="A58" s="2" t="s">
        <v>3</v>
      </c>
      <c r="B58" s="2" t="s">
        <v>67</v>
      </c>
      <c r="C58" s="2" t="s">
        <v>56</v>
      </c>
      <c r="D58" s="3" t="s">
        <v>27</v>
      </c>
      <c r="E58" s="7" t="n">
        <v>26</v>
      </c>
      <c r="F58" s="7" t="s">
        <v>102</v>
      </c>
      <c r="G58" s="7"/>
      <c r="H58" s="8"/>
      <c r="I58" s="9" t="str">
        <f aca="false">IF(OR(E58="",H58=""),"",E58*H58)</f>
        <v/>
      </c>
      <c r="J58" s="10" t="s">
        <v>121</v>
      </c>
    </row>
    <row r="59" customFormat="false" ht="23.85" hidden="false" customHeight="false" outlineLevel="0" collapsed="false">
      <c r="A59" s="2" t="s">
        <v>3</v>
      </c>
      <c r="B59" s="2" t="s">
        <v>54</v>
      </c>
      <c r="C59" s="2" t="s">
        <v>35</v>
      </c>
      <c r="D59" s="3" t="s">
        <v>44</v>
      </c>
      <c r="E59" s="7" t="n">
        <v>4</v>
      </c>
      <c r="F59" s="7" t="s">
        <v>102</v>
      </c>
      <c r="G59" s="7"/>
      <c r="H59" s="8"/>
      <c r="I59" s="9" t="str">
        <f aca="false">IF(OR(E59="",H59=""),"",E59*H59)</f>
        <v/>
      </c>
      <c r="J59" s="10" t="s">
        <v>128</v>
      </c>
    </row>
    <row r="60" customFormat="false" ht="23.85" hidden="false" customHeight="false" outlineLevel="0" collapsed="false">
      <c r="A60" s="2" t="s">
        <v>3</v>
      </c>
      <c r="B60" s="2" t="s">
        <v>54</v>
      </c>
      <c r="C60" s="2" t="s">
        <v>35</v>
      </c>
      <c r="D60" s="3" t="s">
        <v>45</v>
      </c>
      <c r="E60" s="7" t="n">
        <v>22</v>
      </c>
      <c r="F60" s="7" t="s">
        <v>102</v>
      </c>
      <c r="G60" s="7"/>
      <c r="H60" s="8"/>
      <c r="I60" s="9" t="str">
        <f aca="false">IF(OR(E60="",H60=""),"",E60*H60)</f>
        <v/>
      </c>
      <c r="J60" s="10" t="s">
        <v>128</v>
      </c>
    </row>
    <row r="61" customFormat="false" ht="23.85" hidden="false" customHeight="false" outlineLevel="0" collapsed="false">
      <c r="A61" s="2" t="s">
        <v>3</v>
      </c>
      <c r="B61" s="2" t="s">
        <v>54</v>
      </c>
      <c r="C61" s="2" t="s">
        <v>35</v>
      </c>
      <c r="D61" s="3" t="s">
        <v>40</v>
      </c>
      <c r="E61" s="7" t="n">
        <v>45</v>
      </c>
      <c r="F61" s="7" t="s">
        <v>102</v>
      </c>
      <c r="G61" s="7"/>
      <c r="H61" s="8"/>
      <c r="I61" s="9" t="str">
        <f aca="false">IF(OR(E61="",H61=""),"",E61*H61)</f>
        <v/>
      </c>
      <c r="J61" s="10" t="s">
        <v>129</v>
      </c>
    </row>
    <row r="62" customFormat="false" ht="23.85" hidden="false" customHeight="false" outlineLevel="0" collapsed="false">
      <c r="A62" s="2" t="s">
        <v>3</v>
      </c>
      <c r="B62" s="2" t="s">
        <v>92</v>
      </c>
      <c r="C62" s="2" t="s">
        <v>93</v>
      </c>
      <c r="D62" s="3" t="s">
        <v>45</v>
      </c>
      <c r="E62" s="11" t="n">
        <v>1</v>
      </c>
      <c r="F62" s="7" t="s">
        <v>102</v>
      </c>
      <c r="G62" s="7"/>
      <c r="H62" s="8"/>
      <c r="I62" s="9" t="str">
        <f aca="false">IF(OR(E62="",H62=""),"",E62*H62)</f>
        <v/>
      </c>
      <c r="J62" s="10" t="s">
        <v>130</v>
      </c>
    </row>
    <row r="63" customFormat="false" ht="23.85" hidden="false" customHeight="false" outlineLevel="0" collapsed="false">
      <c r="A63" s="2" t="s">
        <v>3</v>
      </c>
      <c r="B63" s="2" t="s">
        <v>92</v>
      </c>
      <c r="C63" s="2" t="s">
        <v>93</v>
      </c>
      <c r="D63" s="3" t="s">
        <v>44</v>
      </c>
      <c r="E63" s="11" t="n">
        <v>1</v>
      </c>
      <c r="F63" s="7" t="s">
        <v>102</v>
      </c>
      <c r="G63" s="7"/>
      <c r="H63" s="8"/>
      <c r="I63" s="9" t="str">
        <f aca="false">IF(OR(E63="",H63=""),"",E63*H63)</f>
        <v/>
      </c>
      <c r="J63" s="10" t="s">
        <v>130</v>
      </c>
    </row>
    <row r="64" customFormat="false" ht="15" hidden="false" customHeight="false" outlineLevel="0" collapsed="false">
      <c r="A64" s="2" t="s">
        <v>3</v>
      </c>
      <c r="B64" s="2" t="s">
        <v>12</v>
      </c>
      <c r="C64" s="2" t="s">
        <v>7</v>
      </c>
      <c r="D64" s="3" t="s">
        <v>32</v>
      </c>
      <c r="E64" s="7" t="n">
        <v>3</v>
      </c>
      <c r="F64" s="7" t="s">
        <v>102</v>
      </c>
      <c r="G64" s="7"/>
      <c r="H64" s="8"/>
      <c r="I64" s="9" t="str">
        <f aca="false">IF(OR(E64="",H64=""),"",E64*H64)</f>
        <v/>
      </c>
      <c r="J64" s="10" t="s">
        <v>121</v>
      </c>
    </row>
    <row r="65" customFormat="false" ht="15" hidden="false" customHeight="false" outlineLevel="0" collapsed="false">
      <c r="A65" s="2" t="s">
        <v>3</v>
      </c>
      <c r="B65" s="2" t="s">
        <v>33</v>
      </c>
      <c r="C65" s="2" t="s">
        <v>7</v>
      </c>
      <c r="D65" s="3" t="s">
        <v>16</v>
      </c>
      <c r="E65" s="7" t="n">
        <v>1</v>
      </c>
      <c r="F65" s="7" t="s">
        <v>105</v>
      </c>
      <c r="G65" s="7"/>
      <c r="H65" s="8"/>
      <c r="I65" s="9" t="str">
        <f aca="false">IF(OR(E65="",H65=""),"",E65*H65)</f>
        <v/>
      </c>
      <c r="J65" s="10" t="s">
        <v>121</v>
      </c>
    </row>
    <row r="66" customFormat="false" ht="15" hidden="false" customHeight="false" outlineLevel="0" collapsed="false">
      <c r="A66" s="2" t="s">
        <v>3</v>
      </c>
      <c r="B66" s="2" t="s">
        <v>33</v>
      </c>
      <c r="C66" s="2" t="s">
        <v>7</v>
      </c>
      <c r="D66" s="3" t="s">
        <v>13</v>
      </c>
      <c r="E66" s="7" t="n">
        <v>2</v>
      </c>
      <c r="F66" s="7" t="s">
        <v>105</v>
      </c>
      <c r="G66" s="7"/>
      <c r="H66" s="8"/>
      <c r="I66" s="9" t="str">
        <f aca="false">IF(OR(E66="",H66=""),"",E66*H66)</f>
        <v/>
      </c>
      <c r="J66" s="10" t="s">
        <v>121</v>
      </c>
    </row>
    <row r="67" customFormat="false" ht="15" hidden="false" customHeight="false" outlineLevel="0" collapsed="false">
      <c r="A67" s="2" t="s">
        <v>3</v>
      </c>
      <c r="B67" s="2" t="s">
        <v>33</v>
      </c>
      <c r="C67" s="2" t="s">
        <v>7</v>
      </c>
      <c r="D67" s="3" t="s">
        <v>14</v>
      </c>
      <c r="E67" s="7" t="n">
        <v>2</v>
      </c>
      <c r="F67" s="7" t="s">
        <v>105</v>
      </c>
      <c r="G67" s="7"/>
      <c r="H67" s="8"/>
      <c r="I67" s="9" t="str">
        <f aca="false">IF(OR(E67="",H67=""),"",E67*H67)</f>
        <v/>
      </c>
      <c r="J67" s="10" t="s">
        <v>121</v>
      </c>
    </row>
    <row r="68" customFormat="false" ht="23.85" hidden="false" customHeight="false" outlineLevel="0" collapsed="false">
      <c r="A68" s="2" t="s">
        <v>3</v>
      </c>
      <c r="B68" s="2" t="s">
        <v>33</v>
      </c>
      <c r="C68" s="2" t="s">
        <v>7</v>
      </c>
      <c r="D68" s="3" t="s">
        <v>17</v>
      </c>
      <c r="E68" s="11"/>
      <c r="F68" s="7" t="s">
        <v>105</v>
      </c>
      <c r="G68" s="7"/>
      <c r="H68" s="8"/>
      <c r="I68" s="9" t="str">
        <f aca="false">IF(OR(E68="",H68=""),"",E68*H68)</f>
        <v/>
      </c>
      <c r="J68" s="10" t="s">
        <v>124</v>
      </c>
    </row>
    <row r="69" customFormat="false" ht="23.85" hidden="false" customHeight="false" outlineLevel="0" collapsed="false">
      <c r="A69" s="2" t="s">
        <v>3</v>
      </c>
      <c r="B69" s="2" t="s">
        <v>86</v>
      </c>
      <c r="C69" s="2" t="s">
        <v>56</v>
      </c>
      <c r="D69" s="3" t="s">
        <v>87</v>
      </c>
      <c r="E69" s="7" t="n">
        <v>26</v>
      </c>
      <c r="F69" s="7" t="s">
        <v>102</v>
      </c>
      <c r="G69" s="7"/>
      <c r="H69" s="8"/>
      <c r="I69" s="9" t="str">
        <f aca="false">IF(OR(E69="",H69=""),"",E69*H69)</f>
        <v/>
      </c>
      <c r="J69" s="10" t="s">
        <v>131</v>
      </c>
    </row>
    <row r="70" customFormat="false" ht="23.85" hidden="false" customHeight="false" outlineLevel="0" collapsed="false">
      <c r="A70" s="2" t="s">
        <v>3</v>
      </c>
      <c r="B70" s="2" t="s">
        <v>86</v>
      </c>
      <c r="C70" s="2" t="s">
        <v>56</v>
      </c>
      <c r="D70" s="3" t="s">
        <v>88</v>
      </c>
      <c r="E70" s="7" t="n">
        <v>14</v>
      </c>
      <c r="F70" s="7" t="s">
        <v>102</v>
      </c>
      <c r="G70" s="7"/>
      <c r="H70" s="8"/>
      <c r="I70" s="9" t="str">
        <f aca="false">IF(OR(E70="",H70=""),"",E70*H70)</f>
        <v/>
      </c>
      <c r="J70" s="10" t="s">
        <v>131</v>
      </c>
    </row>
    <row r="71" customFormat="false" ht="15" hidden="false" customHeight="false" outlineLevel="0" collapsed="false">
      <c r="A71" s="12"/>
      <c r="B71" s="12"/>
      <c r="C71" s="12"/>
      <c r="D71" s="13"/>
      <c r="E71" s="12"/>
      <c r="F71" s="12"/>
      <c r="G71" s="12"/>
      <c r="H71" s="14"/>
      <c r="I71" s="15" t="str">
        <f aca="false">IF(OR(E71="",H71=""),"",E71*H71)</f>
        <v/>
      </c>
      <c r="J71" s="12"/>
    </row>
    <row r="72" customFormat="false" ht="15" hidden="false" customHeight="false" outlineLevel="0" collapsed="false">
      <c r="A72" s="12"/>
      <c r="B72" s="12"/>
      <c r="C72" s="12"/>
      <c r="D72" s="13"/>
      <c r="E72" s="12"/>
      <c r="F72" s="12"/>
      <c r="G72" s="12"/>
      <c r="H72" s="14"/>
      <c r="I72" s="15" t="str">
        <f aca="false">IF(OR(E72="",H72=""),"",E72*H72)</f>
        <v/>
      </c>
      <c r="J72" s="12"/>
    </row>
    <row r="73" customFormat="false" ht="15" hidden="false" customHeight="false" outlineLevel="0" collapsed="false">
      <c r="A73" s="12"/>
      <c r="B73" s="12"/>
      <c r="C73" s="12"/>
      <c r="D73" s="13"/>
      <c r="E73" s="12"/>
      <c r="F73" s="12"/>
      <c r="G73" s="12"/>
      <c r="H73" s="14"/>
      <c r="I73" s="15" t="str">
        <f aca="false">IF(OR(E73="",H73=""),"",E73*H73)</f>
        <v/>
      </c>
      <c r="J73" s="12"/>
    </row>
    <row r="74" customFormat="false" ht="15" hidden="false" customHeight="false" outlineLevel="0" collapsed="false">
      <c r="A74" s="12"/>
      <c r="B74" s="12"/>
      <c r="C74" s="12"/>
      <c r="D74" s="13"/>
      <c r="E74" s="12"/>
      <c r="F74" s="12"/>
      <c r="G74" s="12"/>
      <c r="H74" s="14"/>
      <c r="I74" s="15" t="str">
        <f aca="false">IF(OR(E74="",H74=""),"",E74*H74)</f>
        <v/>
      </c>
      <c r="J74" s="12"/>
    </row>
    <row r="75" customFormat="false" ht="15" hidden="false" customHeight="false" outlineLevel="0" collapsed="false">
      <c r="A75" s="12"/>
      <c r="B75" s="12"/>
      <c r="C75" s="12"/>
      <c r="D75" s="13"/>
      <c r="E75" s="12"/>
      <c r="F75" s="12"/>
      <c r="G75" s="12"/>
      <c r="H75" s="14"/>
      <c r="I75" s="15" t="str">
        <f aca="false">IF(OR(E75="",H75=""),"",E75*H75)</f>
        <v/>
      </c>
      <c r="J75" s="12"/>
    </row>
    <row r="76" customFormat="false" ht="15" hidden="false" customHeight="false" outlineLevel="0" collapsed="false">
      <c r="A76" s="12"/>
      <c r="B76" s="12"/>
      <c r="C76" s="12"/>
      <c r="D76" s="13"/>
      <c r="E76" s="12"/>
      <c r="F76" s="12"/>
      <c r="G76" s="12"/>
      <c r="H76" s="14"/>
      <c r="I76" s="15" t="str">
        <f aca="false">IF(OR(E76="",H76=""),"",E76*H76)</f>
        <v/>
      </c>
      <c r="J76" s="12"/>
    </row>
    <row r="77" customFormat="false" ht="15" hidden="false" customHeight="false" outlineLevel="0" collapsed="false">
      <c r="A77" s="12"/>
      <c r="B77" s="12"/>
      <c r="C77" s="12"/>
      <c r="D77" s="13"/>
      <c r="E77" s="12"/>
      <c r="F77" s="12"/>
      <c r="G77" s="12"/>
      <c r="H77" s="14"/>
      <c r="I77" s="15" t="str">
        <f aca="false">IF(OR(E77="",H77=""),"",E77*H77)</f>
        <v/>
      </c>
      <c r="J77" s="12"/>
    </row>
    <row r="78" customFormat="false" ht="15" hidden="false" customHeight="false" outlineLevel="0" collapsed="false">
      <c r="A78" s="12"/>
      <c r="B78" s="12"/>
      <c r="C78" s="12"/>
      <c r="D78" s="13"/>
      <c r="E78" s="12"/>
      <c r="F78" s="12"/>
      <c r="G78" s="12"/>
      <c r="H78" s="14"/>
      <c r="I78" s="15" t="str">
        <f aca="false">IF(OR(E78="",H78=""),"",E78*H78)</f>
        <v/>
      </c>
      <c r="J78" s="12"/>
    </row>
    <row r="79" customFormat="false" ht="15" hidden="false" customHeight="false" outlineLevel="0" collapsed="false">
      <c r="A79" s="12"/>
      <c r="B79" s="12"/>
      <c r="C79" s="12"/>
      <c r="D79" s="13"/>
      <c r="E79" s="12"/>
      <c r="F79" s="12"/>
      <c r="G79" s="12"/>
      <c r="H79" s="14"/>
      <c r="I79" s="15" t="str">
        <f aca="false">IF(OR(E79="",H79=""),"",E79*H79)</f>
        <v/>
      </c>
      <c r="J79" s="12"/>
    </row>
    <row r="80" customFormat="false" ht="15" hidden="false" customHeight="false" outlineLevel="0" collapsed="false">
      <c r="A80" s="12"/>
      <c r="B80" s="12"/>
      <c r="C80" s="12"/>
      <c r="D80" s="13"/>
      <c r="E80" s="12"/>
      <c r="F80" s="12"/>
      <c r="G80" s="12"/>
      <c r="H80" s="14"/>
      <c r="I80" s="15" t="str">
        <f aca="false">IF(OR(E80="",H80=""),"",E80*H80)</f>
        <v/>
      </c>
      <c r="J80" s="12"/>
    </row>
    <row r="81" customFormat="false" ht="15" hidden="false" customHeight="false" outlineLevel="0" collapsed="false">
      <c r="A81" s="12"/>
      <c r="B81" s="12"/>
      <c r="C81" s="12"/>
      <c r="D81" s="13"/>
      <c r="E81" s="12"/>
      <c r="F81" s="12"/>
      <c r="G81" s="12"/>
      <c r="H81" s="14"/>
      <c r="I81" s="15" t="str">
        <f aca="false">IF(OR(E81="",H81=""),"",E81*H81)</f>
        <v/>
      </c>
      <c r="J81" s="12"/>
    </row>
    <row r="82" customFormat="false" ht="15" hidden="false" customHeight="false" outlineLevel="0" collapsed="false">
      <c r="A82" s="12"/>
      <c r="B82" s="12"/>
      <c r="C82" s="12"/>
      <c r="D82" s="13"/>
      <c r="E82" s="12"/>
      <c r="F82" s="12"/>
      <c r="G82" s="12"/>
      <c r="H82" s="14"/>
      <c r="I82" s="15" t="str">
        <f aca="false">IF(OR(E82="",H82=""),"",E82*H82)</f>
        <v/>
      </c>
      <c r="J82" s="12"/>
    </row>
    <row r="83" customFormat="false" ht="15" hidden="false" customHeight="false" outlineLevel="0" collapsed="false">
      <c r="A83" s="12"/>
      <c r="B83" s="12"/>
      <c r="C83" s="12"/>
      <c r="D83" s="13"/>
      <c r="E83" s="12"/>
      <c r="F83" s="12"/>
      <c r="G83" s="12"/>
      <c r="H83" s="14"/>
      <c r="I83" s="15" t="str">
        <f aca="false">IF(OR(E83="",H83=""),"",E83*H83)</f>
        <v/>
      </c>
      <c r="J83" s="12"/>
    </row>
    <row r="84" customFormat="false" ht="15" hidden="false" customHeight="false" outlineLevel="0" collapsed="false">
      <c r="A84" s="12"/>
      <c r="B84" s="12"/>
      <c r="C84" s="12"/>
      <c r="D84" s="13"/>
      <c r="E84" s="12"/>
      <c r="F84" s="12"/>
      <c r="G84" s="12"/>
      <c r="H84" s="14"/>
      <c r="I84" s="15" t="str">
        <f aca="false">IF(OR(E84="",H84=""),"",E84*H84)</f>
        <v/>
      </c>
      <c r="J84" s="12"/>
    </row>
    <row r="85" customFormat="false" ht="15" hidden="false" customHeight="false" outlineLevel="0" collapsed="false">
      <c r="A85" s="12"/>
      <c r="B85" s="12"/>
      <c r="C85" s="12"/>
      <c r="D85" s="13"/>
      <c r="E85" s="12"/>
      <c r="F85" s="12"/>
      <c r="G85" s="12"/>
      <c r="H85" s="14"/>
      <c r="I85" s="15" t="str">
        <f aca="false">IF(OR(E85="",H85=""),"",E85*H85)</f>
        <v/>
      </c>
      <c r="J85" s="12"/>
    </row>
    <row r="86" customFormat="false" ht="15" hidden="false" customHeight="false" outlineLevel="0" collapsed="false">
      <c r="A86" s="12"/>
      <c r="B86" s="12"/>
      <c r="C86" s="12"/>
      <c r="D86" s="13"/>
      <c r="E86" s="12"/>
      <c r="F86" s="12"/>
      <c r="G86" s="12"/>
      <c r="H86" s="14"/>
      <c r="I86" s="15" t="str">
        <f aca="false">IF(OR(E86="",H86=""),"",E86*H86)</f>
        <v/>
      </c>
      <c r="J86" s="12"/>
    </row>
    <row r="87" customFormat="false" ht="15" hidden="false" customHeight="false" outlineLevel="0" collapsed="false">
      <c r="A87" s="12"/>
      <c r="B87" s="12"/>
      <c r="C87" s="12"/>
      <c r="D87" s="13"/>
      <c r="E87" s="12"/>
      <c r="F87" s="12"/>
      <c r="G87" s="12"/>
      <c r="H87" s="14"/>
      <c r="I87" s="15" t="str">
        <f aca="false">IF(OR(E87="",H87=""),"",E87*H87)</f>
        <v/>
      </c>
      <c r="J87" s="12"/>
    </row>
    <row r="88" customFormat="false" ht="15" hidden="false" customHeight="false" outlineLevel="0" collapsed="false">
      <c r="A88" s="12"/>
      <c r="B88" s="12"/>
      <c r="C88" s="12"/>
      <c r="D88" s="13"/>
      <c r="E88" s="12"/>
      <c r="F88" s="12"/>
      <c r="G88" s="12"/>
      <c r="H88" s="14"/>
      <c r="I88" s="15" t="str">
        <f aca="false">IF(OR(E88="",H88=""),"",E88*H88)</f>
        <v/>
      </c>
      <c r="J88" s="12"/>
    </row>
    <row r="89" customFormat="false" ht="15" hidden="false" customHeight="false" outlineLevel="0" collapsed="false">
      <c r="A89" s="12"/>
      <c r="B89" s="12"/>
      <c r="C89" s="12"/>
      <c r="D89" s="13"/>
      <c r="E89" s="12"/>
      <c r="F89" s="12"/>
      <c r="G89" s="12"/>
      <c r="H89" s="14"/>
      <c r="I89" s="15" t="str">
        <f aca="false">IF(OR(E89="",H89=""),"",E89*H89)</f>
        <v/>
      </c>
      <c r="J89" s="12"/>
    </row>
    <row r="90" customFormat="false" ht="15" hidden="false" customHeight="false" outlineLevel="0" collapsed="false">
      <c r="A90" s="12"/>
      <c r="B90" s="12"/>
      <c r="C90" s="12"/>
      <c r="D90" s="13"/>
      <c r="E90" s="12"/>
      <c r="F90" s="12"/>
      <c r="G90" s="12"/>
      <c r="H90" s="14"/>
      <c r="I90" s="15" t="str">
        <f aca="false">IF(OR(E90="",H90=""),"",E90*H90)</f>
        <v/>
      </c>
      <c r="J90" s="12"/>
    </row>
    <row r="91" customFormat="false" ht="15" hidden="false" customHeight="false" outlineLevel="0" collapsed="false">
      <c r="A91" s="12"/>
      <c r="B91" s="12"/>
      <c r="C91" s="12"/>
      <c r="D91" s="13"/>
      <c r="E91" s="12"/>
      <c r="F91" s="12"/>
      <c r="G91" s="12"/>
      <c r="H91" s="14"/>
      <c r="I91" s="15" t="str">
        <f aca="false">IF(OR(E91="",H91=""),"",E91*H91)</f>
        <v/>
      </c>
      <c r="J91" s="12"/>
    </row>
    <row r="92" customFormat="false" ht="15" hidden="false" customHeight="false" outlineLevel="0" collapsed="false">
      <c r="A92" s="12"/>
      <c r="B92" s="12"/>
      <c r="C92" s="12"/>
      <c r="D92" s="13"/>
      <c r="E92" s="12"/>
      <c r="F92" s="12"/>
      <c r="G92" s="12"/>
      <c r="H92" s="14"/>
      <c r="I92" s="15" t="str">
        <f aca="false">IF(OR(E92="",H92=""),"",E92*H92)</f>
        <v/>
      </c>
      <c r="J92" s="12"/>
    </row>
    <row r="93" customFormat="false" ht="15" hidden="false" customHeight="false" outlineLevel="0" collapsed="false">
      <c r="A93" s="12"/>
      <c r="B93" s="12"/>
      <c r="C93" s="12"/>
      <c r="D93" s="13"/>
      <c r="E93" s="12"/>
      <c r="F93" s="12"/>
      <c r="G93" s="12"/>
      <c r="H93" s="14"/>
      <c r="I93" s="15" t="str">
        <f aca="false">IF(OR(E93="",H93=""),"",E93*H93)</f>
        <v/>
      </c>
      <c r="J93" s="12"/>
    </row>
    <row r="94" customFormat="false" ht="15" hidden="false" customHeight="false" outlineLevel="0" collapsed="false">
      <c r="A94" s="12"/>
      <c r="B94" s="12"/>
      <c r="C94" s="12"/>
      <c r="D94" s="13"/>
      <c r="E94" s="12"/>
      <c r="F94" s="12"/>
      <c r="G94" s="12"/>
      <c r="H94" s="14"/>
      <c r="I94" s="15" t="str">
        <f aca="false">IF(OR(E94="",H94=""),"",E94*H94)</f>
        <v/>
      </c>
      <c r="J94" s="12"/>
    </row>
    <row r="95" customFormat="false" ht="15" hidden="false" customHeight="false" outlineLevel="0" collapsed="false">
      <c r="A95" s="12"/>
      <c r="B95" s="12"/>
      <c r="C95" s="12"/>
      <c r="D95" s="13"/>
      <c r="E95" s="12"/>
      <c r="F95" s="12"/>
      <c r="G95" s="12"/>
      <c r="H95" s="14"/>
      <c r="I95" s="15" t="str">
        <f aca="false">IF(OR(E95="",H95=""),"",E95*H95)</f>
        <v/>
      </c>
      <c r="J95" s="12"/>
    </row>
    <row r="96" customFormat="false" ht="15" hidden="false" customHeight="false" outlineLevel="0" collapsed="false">
      <c r="A96" s="12"/>
      <c r="B96" s="12"/>
      <c r="C96" s="12"/>
      <c r="D96" s="13"/>
      <c r="E96" s="12"/>
      <c r="F96" s="12"/>
      <c r="G96" s="12"/>
      <c r="H96" s="14"/>
      <c r="I96" s="15" t="str">
        <f aca="false">IF(OR(E96="",H96=""),"",E96*H96)</f>
        <v/>
      </c>
      <c r="J96" s="12"/>
    </row>
    <row r="97" customFormat="false" ht="15" hidden="false" customHeight="false" outlineLevel="0" collapsed="false">
      <c r="A97" s="12"/>
      <c r="B97" s="12"/>
      <c r="C97" s="12"/>
      <c r="D97" s="13"/>
      <c r="E97" s="12"/>
      <c r="F97" s="12"/>
      <c r="G97" s="12"/>
      <c r="H97" s="14"/>
      <c r="I97" s="15" t="str">
        <f aca="false">IF(OR(E97="",H97=""),"",E97*H97)</f>
        <v/>
      </c>
      <c r="J97" s="12"/>
    </row>
    <row r="98" customFormat="false" ht="15" hidden="false" customHeight="false" outlineLevel="0" collapsed="false">
      <c r="A98" s="12"/>
      <c r="B98" s="12"/>
      <c r="C98" s="12"/>
      <c r="D98" s="13"/>
      <c r="E98" s="12"/>
      <c r="F98" s="12"/>
      <c r="G98" s="12"/>
      <c r="H98" s="14"/>
      <c r="I98" s="15" t="str">
        <f aca="false">IF(OR(E98="",H98=""),"",E98*H98)</f>
        <v/>
      </c>
      <c r="J98" s="12"/>
    </row>
    <row r="99" customFormat="false" ht="15" hidden="false" customHeight="false" outlineLevel="0" collapsed="false">
      <c r="A99" s="12"/>
      <c r="B99" s="12"/>
      <c r="C99" s="12"/>
      <c r="D99" s="13"/>
      <c r="E99" s="12"/>
      <c r="F99" s="12"/>
      <c r="G99" s="12"/>
      <c r="H99" s="14"/>
      <c r="I99" s="15" t="str">
        <f aca="false">IF(OR(E99="",H99=""),"",E99*H99)</f>
        <v/>
      </c>
      <c r="J99" s="12"/>
    </row>
    <row r="100" customFormat="false" ht="15" hidden="false" customHeight="false" outlineLevel="0" collapsed="false">
      <c r="A100" s="12"/>
      <c r="B100" s="12"/>
      <c r="C100" s="12"/>
      <c r="D100" s="13"/>
      <c r="E100" s="12"/>
      <c r="F100" s="12"/>
      <c r="G100" s="12"/>
      <c r="H100" s="14"/>
      <c r="I100" s="15" t="str">
        <f aca="false">IF(OR(E100="",H100=""),"",E100*H100)</f>
        <v/>
      </c>
      <c r="J100" s="12"/>
    </row>
    <row r="101" customFormat="false" ht="15" hidden="false" customHeight="false" outlineLevel="0" collapsed="false">
      <c r="A101" s="12"/>
      <c r="B101" s="12"/>
      <c r="C101" s="12"/>
      <c r="D101" s="13"/>
      <c r="E101" s="12"/>
      <c r="F101" s="12"/>
      <c r="G101" s="12"/>
      <c r="H101" s="14"/>
      <c r="I101" s="15" t="str">
        <f aca="false">IF(OR(E101="",H101=""),"",E101*H101)</f>
        <v/>
      </c>
      <c r="J101" s="12"/>
    </row>
    <row r="102" customFormat="false" ht="15" hidden="false" customHeight="false" outlineLevel="0" collapsed="false">
      <c r="A102" s="12"/>
      <c r="B102" s="12"/>
      <c r="C102" s="12"/>
      <c r="D102" s="13"/>
      <c r="E102" s="12"/>
      <c r="F102" s="12"/>
      <c r="G102" s="12"/>
      <c r="H102" s="14"/>
      <c r="I102" s="15" t="str">
        <f aca="false">IF(OR(E102="",H102=""),"",E102*H102)</f>
        <v/>
      </c>
      <c r="J102" s="12"/>
    </row>
    <row r="103" customFormat="false" ht="15" hidden="false" customHeight="false" outlineLevel="0" collapsed="false">
      <c r="A103" s="12"/>
      <c r="B103" s="12"/>
      <c r="C103" s="12"/>
      <c r="D103" s="13"/>
      <c r="E103" s="12"/>
      <c r="F103" s="12"/>
      <c r="G103" s="12"/>
      <c r="H103" s="14"/>
      <c r="I103" s="15" t="str">
        <f aca="false">IF(OR(E103="",H103=""),"",E103*H103)</f>
        <v/>
      </c>
      <c r="J103" s="12"/>
    </row>
    <row r="104" customFormat="false" ht="15" hidden="false" customHeight="false" outlineLevel="0" collapsed="false">
      <c r="A104" s="12"/>
      <c r="B104" s="12"/>
      <c r="C104" s="12"/>
      <c r="D104" s="13"/>
      <c r="E104" s="12"/>
      <c r="F104" s="12"/>
      <c r="G104" s="12"/>
      <c r="H104" s="14"/>
      <c r="I104" s="15" t="str">
        <f aca="false">IF(OR(E104="",H104=""),"",E104*H104)</f>
        <v/>
      </c>
      <c r="J104" s="12"/>
    </row>
    <row r="105" customFormat="false" ht="15" hidden="false" customHeight="false" outlineLevel="0" collapsed="false">
      <c r="A105" s="12"/>
      <c r="B105" s="12"/>
      <c r="C105" s="12"/>
      <c r="D105" s="13"/>
      <c r="E105" s="12"/>
      <c r="F105" s="12"/>
      <c r="G105" s="12"/>
      <c r="H105" s="14"/>
      <c r="I105" s="15" t="str">
        <f aca="false">IF(OR(E105="",H105=""),"",E105*H105)</f>
        <v/>
      </c>
      <c r="J105" s="12"/>
    </row>
    <row r="106" customFormat="false" ht="15" hidden="false" customHeight="false" outlineLevel="0" collapsed="false">
      <c r="A106" s="12"/>
      <c r="B106" s="12"/>
      <c r="C106" s="12"/>
      <c r="D106" s="13"/>
      <c r="E106" s="12"/>
      <c r="F106" s="12"/>
      <c r="G106" s="12"/>
      <c r="H106" s="14"/>
      <c r="I106" s="15" t="str">
        <f aca="false">IF(OR(E106="",H106=""),"",E106*H106)</f>
        <v/>
      </c>
      <c r="J106" s="12"/>
    </row>
    <row r="107" customFormat="false" ht="15" hidden="false" customHeight="false" outlineLevel="0" collapsed="false">
      <c r="A107" s="12"/>
      <c r="B107" s="12"/>
      <c r="C107" s="12"/>
      <c r="D107" s="13"/>
      <c r="E107" s="12"/>
      <c r="F107" s="12"/>
      <c r="G107" s="12"/>
      <c r="H107" s="14"/>
      <c r="I107" s="15" t="str">
        <f aca="false">IF(OR(E107="",H107=""),"",E107*H107)</f>
        <v/>
      </c>
      <c r="J107" s="12"/>
    </row>
    <row r="108" customFormat="false" ht="15" hidden="false" customHeight="false" outlineLevel="0" collapsed="false">
      <c r="A108" s="12"/>
      <c r="B108" s="12"/>
      <c r="C108" s="12"/>
      <c r="D108" s="13"/>
      <c r="E108" s="12"/>
      <c r="F108" s="12"/>
      <c r="G108" s="12"/>
      <c r="H108" s="14"/>
      <c r="I108" s="15" t="str">
        <f aca="false">IF(OR(E108="",H108=""),"",E108*H108)</f>
        <v/>
      </c>
      <c r="J108" s="12"/>
    </row>
    <row r="109" customFormat="false" ht="15" hidden="false" customHeight="false" outlineLevel="0" collapsed="false">
      <c r="A109" s="12"/>
      <c r="B109" s="12"/>
      <c r="C109" s="12"/>
      <c r="D109" s="13"/>
      <c r="E109" s="12"/>
      <c r="F109" s="12"/>
      <c r="G109" s="12"/>
      <c r="H109" s="14"/>
      <c r="I109" s="15" t="str">
        <f aca="false">IF(OR(E109="",H109=""),"",E109*H109)</f>
        <v/>
      </c>
      <c r="J109" s="12"/>
    </row>
    <row r="110" customFormat="false" ht="15" hidden="false" customHeight="false" outlineLevel="0" collapsed="false">
      <c r="A110" s="12"/>
      <c r="B110" s="12"/>
      <c r="C110" s="12"/>
      <c r="D110" s="13"/>
      <c r="E110" s="12"/>
      <c r="F110" s="12"/>
      <c r="G110" s="12"/>
      <c r="H110" s="14"/>
      <c r="I110" s="15" t="str">
        <f aca="false">IF(OR(E110="",H110=""),"",E110*H110)</f>
        <v/>
      </c>
      <c r="J110" s="12"/>
    </row>
    <row r="111" customFormat="false" ht="15" hidden="false" customHeight="false" outlineLevel="0" collapsed="false">
      <c r="A111" s="12"/>
      <c r="B111" s="12"/>
      <c r="C111" s="12"/>
      <c r="D111" s="13"/>
      <c r="E111" s="12"/>
      <c r="F111" s="12"/>
      <c r="G111" s="12"/>
      <c r="H111" s="14"/>
      <c r="I111" s="15" t="str">
        <f aca="false">IF(OR(E111="",H111=""),"",E111*H111)</f>
        <v/>
      </c>
      <c r="J111" s="12"/>
    </row>
    <row r="112" customFormat="false" ht="15" hidden="false" customHeight="false" outlineLevel="0" collapsed="false">
      <c r="A112" s="12"/>
      <c r="B112" s="12"/>
      <c r="C112" s="12"/>
      <c r="D112" s="13"/>
      <c r="E112" s="12"/>
      <c r="F112" s="12"/>
      <c r="G112" s="12"/>
      <c r="H112" s="14"/>
      <c r="I112" s="15" t="str">
        <f aca="false">IF(OR(E112="",H112=""),"",E112*H112)</f>
        <v/>
      </c>
      <c r="J112" s="12"/>
    </row>
    <row r="113" customFormat="false" ht="15" hidden="false" customHeight="false" outlineLevel="0" collapsed="false">
      <c r="A113" s="12"/>
      <c r="B113" s="12"/>
      <c r="C113" s="12"/>
      <c r="D113" s="13"/>
      <c r="E113" s="12"/>
      <c r="F113" s="12"/>
      <c r="G113" s="12"/>
      <c r="H113" s="14"/>
      <c r="I113" s="15" t="str">
        <f aca="false">IF(OR(E113="",H113=""),"",E113*H113)</f>
        <v/>
      </c>
      <c r="J113" s="12"/>
    </row>
    <row r="114" customFormat="false" ht="15" hidden="false" customHeight="false" outlineLevel="0" collapsed="false">
      <c r="A114" s="12"/>
      <c r="B114" s="12"/>
      <c r="C114" s="12"/>
      <c r="D114" s="13"/>
      <c r="E114" s="12"/>
      <c r="F114" s="12"/>
      <c r="G114" s="12"/>
      <c r="H114" s="14"/>
      <c r="I114" s="15" t="str">
        <f aca="false">IF(OR(E114="",H114=""),"",E114*H114)</f>
        <v/>
      </c>
      <c r="J114" s="12"/>
    </row>
    <row r="115" customFormat="false" ht="15" hidden="false" customHeight="false" outlineLevel="0" collapsed="false">
      <c r="A115" s="12"/>
      <c r="B115" s="12"/>
      <c r="C115" s="12"/>
      <c r="D115" s="13"/>
      <c r="E115" s="12"/>
      <c r="F115" s="12"/>
      <c r="G115" s="12"/>
      <c r="H115" s="14"/>
      <c r="I115" s="15" t="str">
        <f aca="false">IF(OR(E115="",H115=""),"",E115*H115)</f>
        <v/>
      </c>
      <c r="J115" s="12"/>
    </row>
    <row r="116" customFormat="false" ht="15" hidden="false" customHeight="false" outlineLevel="0" collapsed="false">
      <c r="A116" s="12"/>
      <c r="B116" s="12"/>
      <c r="C116" s="12"/>
      <c r="D116" s="13"/>
      <c r="E116" s="12"/>
      <c r="F116" s="12"/>
      <c r="G116" s="12"/>
      <c r="H116" s="14"/>
      <c r="I116" s="15" t="str">
        <f aca="false">IF(OR(E116="",H116=""),"",E116*H116)</f>
        <v/>
      </c>
      <c r="J116" s="12"/>
    </row>
    <row r="117" customFormat="false" ht="15" hidden="false" customHeight="false" outlineLevel="0" collapsed="false">
      <c r="A117" s="12"/>
      <c r="B117" s="12"/>
      <c r="C117" s="12"/>
      <c r="D117" s="13"/>
      <c r="E117" s="12"/>
      <c r="F117" s="12"/>
      <c r="G117" s="12"/>
      <c r="H117" s="14"/>
      <c r="I117" s="15" t="str">
        <f aca="false">IF(OR(E117="",H117=""),"",E117*H117)</f>
        <v/>
      </c>
      <c r="J117" s="12"/>
    </row>
    <row r="118" customFormat="false" ht="15" hidden="false" customHeight="false" outlineLevel="0" collapsed="false">
      <c r="A118" s="12"/>
      <c r="B118" s="12"/>
      <c r="C118" s="12"/>
      <c r="D118" s="13"/>
      <c r="E118" s="12"/>
      <c r="F118" s="12"/>
      <c r="G118" s="12"/>
      <c r="H118" s="14"/>
      <c r="I118" s="15" t="str">
        <f aca="false">IF(OR(E118="",H118=""),"",E118*H118)</f>
        <v/>
      </c>
      <c r="J118" s="12"/>
    </row>
    <row r="119" customFormat="false" ht="15" hidden="false" customHeight="false" outlineLevel="0" collapsed="false">
      <c r="A119" s="12"/>
      <c r="B119" s="12"/>
      <c r="C119" s="12"/>
      <c r="D119" s="13"/>
      <c r="E119" s="12"/>
      <c r="F119" s="12"/>
      <c r="G119" s="12"/>
      <c r="H119" s="14"/>
      <c r="I119" s="15" t="str">
        <f aca="false">IF(OR(E119="",H119=""),"",E119*H119)</f>
        <v/>
      </c>
      <c r="J119" s="12"/>
    </row>
    <row r="120" customFormat="false" ht="15" hidden="false" customHeight="false" outlineLevel="0" collapsed="false">
      <c r="A120" s="12"/>
      <c r="B120" s="12"/>
      <c r="C120" s="12"/>
      <c r="D120" s="13"/>
      <c r="E120" s="12"/>
      <c r="F120" s="12"/>
      <c r="G120" s="12"/>
      <c r="H120" s="14"/>
      <c r="I120" s="15" t="str">
        <f aca="false">IF(OR(E120="",H120=""),"",E120*H120)</f>
        <v/>
      </c>
      <c r="J120" s="12"/>
    </row>
    <row r="121" customFormat="false" ht="15" hidden="false" customHeight="false" outlineLevel="0" collapsed="false">
      <c r="A121" s="12"/>
      <c r="B121" s="12"/>
      <c r="C121" s="12"/>
      <c r="D121" s="13"/>
      <c r="E121" s="12"/>
      <c r="F121" s="12"/>
      <c r="G121" s="12"/>
      <c r="H121" s="14"/>
      <c r="I121" s="15" t="str">
        <f aca="false">IF(OR(E121="",H121=""),"",E121*H121)</f>
        <v/>
      </c>
      <c r="J121" s="12"/>
    </row>
    <row r="122" customFormat="false" ht="15" hidden="false" customHeight="false" outlineLevel="0" collapsed="false">
      <c r="A122" s="12"/>
      <c r="B122" s="12"/>
      <c r="C122" s="12"/>
      <c r="D122" s="13"/>
      <c r="E122" s="12"/>
      <c r="F122" s="12"/>
      <c r="G122" s="12"/>
      <c r="H122" s="14"/>
      <c r="I122" s="15" t="str">
        <f aca="false">IF(OR(E122="",H122=""),"",E122*H122)</f>
        <v/>
      </c>
      <c r="J122" s="12"/>
    </row>
    <row r="123" customFormat="false" ht="15" hidden="false" customHeight="false" outlineLevel="0" collapsed="false">
      <c r="A123" s="12"/>
      <c r="B123" s="12"/>
      <c r="C123" s="12"/>
      <c r="D123" s="13"/>
      <c r="E123" s="12"/>
      <c r="F123" s="12"/>
      <c r="G123" s="12"/>
      <c r="H123" s="14"/>
      <c r="I123" s="15" t="str">
        <f aca="false">IF(OR(E123="",H123=""),"",E123*H123)</f>
        <v/>
      </c>
      <c r="J123" s="12"/>
    </row>
    <row r="124" customFormat="false" ht="15" hidden="false" customHeight="false" outlineLevel="0" collapsed="false">
      <c r="A124" s="12"/>
      <c r="B124" s="12"/>
      <c r="C124" s="12"/>
      <c r="D124" s="13"/>
      <c r="E124" s="12"/>
      <c r="F124" s="12"/>
      <c r="G124" s="12"/>
      <c r="H124" s="14"/>
      <c r="I124" s="15" t="str">
        <f aca="false">IF(OR(E124="",H124=""),"",E124*H124)</f>
        <v/>
      </c>
      <c r="J124" s="12"/>
    </row>
    <row r="125" customFormat="false" ht="15" hidden="false" customHeight="false" outlineLevel="0" collapsed="false">
      <c r="A125" s="12"/>
      <c r="B125" s="12"/>
      <c r="C125" s="12"/>
      <c r="D125" s="13"/>
      <c r="E125" s="12"/>
      <c r="F125" s="12"/>
      <c r="G125" s="12"/>
      <c r="H125" s="14"/>
      <c r="I125" s="15" t="str">
        <f aca="false">IF(OR(E125="",H125=""),"",E125*H125)</f>
        <v/>
      </c>
      <c r="J125" s="12"/>
    </row>
    <row r="126" customFormat="false" ht="15" hidden="false" customHeight="false" outlineLevel="0" collapsed="false">
      <c r="A126" s="12"/>
      <c r="B126" s="12"/>
      <c r="C126" s="12"/>
      <c r="D126" s="13"/>
      <c r="E126" s="12"/>
      <c r="F126" s="12"/>
      <c r="G126" s="12"/>
      <c r="H126" s="14"/>
      <c r="I126" s="15" t="str">
        <f aca="false">IF(OR(E126="",H126=""),"",E126*H126)</f>
        <v/>
      </c>
      <c r="J126" s="12"/>
    </row>
    <row r="127" customFormat="false" ht="15" hidden="false" customHeight="false" outlineLevel="0" collapsed="false">
      <c r="A127" s="12"/>
      <c r="B127" s="12"/>
      <c r="C127" s="12"/>
      <c r="D127" s="13"/>
      <c r="E127" s="12"/>
      <c r="F127" s="12"/>
      <c r="G127" s="12"/>
      <c r="H127" s="14"/>
      <c r="I127" s="15" t="str">
        <f aca="false">IF(OR(E127="",H127=""),"",E127*H127)</f>
        <v/>
      </c>
      <c r="J127" s="12"/>
    </row>
    <row r="128" customFormat="false" ht="15" hidden="false" customHeight="false" outlineLevel="0" collapsed="false">
      <c r="A128" s="12"/>
      <c r="B128" s="12"/>
      <c r="C128" s="12"/>
      <c r="D128" s="13"/>
      <c r="E128" s="12"/>
      <c r="F128" s="12"/>
      <c r="G128" s="12"/>
      <c r="H128" s="14"/>
      <c r="I128" s="15" t="str">
        <f aca="false">IF(OR(E128="",H128=""),"",E128*H128)</f>
        <v/>
      </c>
      <c r="J128" s="12"/>
    </row>
    <row r="129" customFormat="false" ht="15" hidden="false" customHeight="false" outlineLevel="0" collapsed="false">
      <c r="A129" s="12"/>
      <c r="B129" s="12"/>
      <c r="C129" s="12"/>
      <c r="D129" s="13"/>
      <c r="E129" s="12"/>
      <c r="F129" s="12"/>
      <c r="G129" s="12"/>
      <c r="H129" s="14"/>
      <c r="I129" s="15" t="str">
        <f aca="false">IF(OR(E129="",H129=""),"",E129*H129)</f>
        <v/>
      </c>
      <c r="J129" s="12"/>
    </row>
    <row r="130" customFormat="false" ht="15" hidden="false" customHeight="false" outlineLevel="0" collapsed="false">
      <c r="A130" s="12"/>
      <c r="B130" s="12"/>
      <c r="C130" s="12"/>
      <c r="D130" s="13"/>
      <c r="E130" s="12"/>
      <c r="F130" s="12"/>
      <c r="G130" s="12"/>
      <c r="H130" s="14"/>
      <c r="I130" s="15" t="str">
        <f aca="false">IF(OR(E130="",H130=""),"",E130*H130)</f>
        <v/>
      </c>
      <c r="J130" s="12"/>
    </row>
    <row r="131" customFormat="false" ht="15" hidden="false" customHeight="false" outlineLevel="0" collapsed="false">
      <c r="A131" s="12"/>
      <c r="B131" s="12"/>
      <c r="C131" s="12"/>
      <c r="D131" s="13"/>
      <c r="E131" s="12"/>
      <c r="F131" s="12"/>
      <c r="G131" s="12"/>
      <c r="H131" s="14"/>
      <c r="I131" s="15" t="str">
        <f aca="false">IF(OR(E131="",H131=""),"",E131*H131)</f>
        <v/>
      </c>
      <c r="J131" s="12"/>
    </row>
    <row r="132" customFormat="false" ht="15" hidden="false" customHeight="false" outlineLevel="0" collapsed="false">
      <c r="A132" s="12"/>
      <c r="B132" s="12"/>
      <c r="C132" s="12"/>
      <c r="D132" s="13"/>
      <c r="E132" s="12"/>
      <c r="F132" s="12"/>
      <c r="G132" s="12"/>
      <c r="H132" s="14"/>
      <c r="I132" s="15" t="str">
        <f aca="false">IF(OR(E132="",H132=""),"",E132*H132)</f>
        <v/>
      </c>
      <c r="J132" s="12"/>
    </row>
    <row r="133" customFormat="false" ht="15" hidden="false" customHeight="false" outlineLevel="0" collapsed="false">
      <c r="A133" s="12"/>
      <c r="B133" s="12"/>
      <c r="C133" s="12"/>
      <c r="D133" s="13"/>
      <c r="E133" s="12"/>
      <c r="F133" s="12"/>
      <c r="G133" s="12"/>
      <c r="H133" s="14"/>
      <c r="I133" s="15" t="str">
        <f aca="false">IF(OR(E133="",H133=""),"",E133*H133)</f>
        <v/>
      </c>
      <c r="J133" s="12"/>
    </row>
    <row r="134" customFormat="false" ht="15" hidden="false" customHeight="false" outlineLevel="0" collapsed="false">
      <c r="A134" s="12"/>
      <c r="B134" s="12"/>
      <c r="C134" s="12"/>
      <c r="D134" s="13"/>
      <c r="E134" s="12"/>
      <c r="F134" s="12"/>
      <c r="G134" s="12"/>
      <c r="H134" s="14"/>
      <c r="I134" s="15" t="str">
        <f aca="false">IF(OR(E134="",H134=""),"",E134*H134)</f>
        <v/>
      </c>
      <c r="J134" s="12"/>
    </row>
    <row r="135" customFormat="false" ht="15" hidden="false" customHeight="false" outlineLevel="0" collapsed="false">
      <c r="A135" s="12"/>
      <c r="B135" s="12"/>
      <c r="C135" s="12"/>
      <c r="D135" s="13"/>
      <c r="E135" s="12"/>
      <c r="F135" s="12"/>
      <c r="G135" s="12"/>
      <c r="H135" s="14"/>
      <c r="I135" s="15" t="str">
        <f aca="false">IF(OR(E135="",H135=""),"",E135*H135)</f>
        <v/>
      </c>
      <c r="J135" s="12"/>
    </row>
    <row r="136" customFormat="false" ht="15" hidden="false" customHeight="false" outlineLevel="0" collapsed="false">
      <c r="A136" s="12"/>
      <c r="B136" s="12"/>
      <c r="C136" s="12"/>
      <c r="D136" s="13"/>
      <c r="E136" s="12"/>
      <c r="F136" s="12"/>
      <c r="G136" s="12"/>
      <c r="H136" s="14"/>
      <c r="I136" s="15" t="str">
        <f aca="false">IF(OR(E136="",H136=""),"",E136*H136)</f>
        <v/>
      </c>
      <c r="J136" s="12"/>
    </row>
    <row r="137" customFormat="false" ht="15" hidden="false" customHeight="false" outlineLevel="0" collapsed="false">
      <c r="A137" s="12"/>
      <c r="B137" s="12"/>
      <c r="C137" s="12"/>
      <c r="D137" s="13"/>
      <c r="E137" s="12"/>
      <c r="F137" s="12"/>
      <c r="G137" s="12"/>
      <c r="H137" s="14"/>
      <c r="I137" s="15" t="str">
        <f aca="false">IF(OR(E137="",H137=""),"",E137*H137)</f>
        <v/>
      </c>
      <c r="J137" s="12"/>
    </row>
    <row r="138" customFormat="false" ht="15" hidden="false" customHeight="false" outlineLevel="0" collapsed="false">
      <c r="A138" s="12"/>
      <c r="B138" s="12"/>
      <c r="C138" s="12"/>
      <c r="D138" s="13"/>
      <c r="E138" s="12"/>
      <c r="F138" s="12"/>
      <c r="G138" s="12"/>
      <c r="H138" s="14"/>
      <c r="I138" s="15" t="str">
        <f aca="false">IF(OR(E138="",H138=""),"",E138*H138)</f>
        <v/>
      </c>
      <c r="J138" s="12"/>
    </row>
    <row r="139" customFormat="false" ht="15" hidden="false" customHeight="false" outlineLevel="0" collapsed="false">
      <c r="A139" s="12"/>
      <c r="B139" s="12"/>
      <c r="C139" s="12"/>
      <c r="D139" s="13"/>
      <c r="E139" s="12"/>
      <c r="F139" s="12"/>
      <c r="G139" s="12"/>
      <c r="H139" s="14"/>
      <c r="I139" s="15" t="str">
        <f aca="false">IF(OR(E139="",H139=""),"",E139*H139)</f>
        <v/>
      </c>
      <c r="J139" s="12"/>
    </row>
    <row r="140" customFormat="false" ht="15" hidden="false" customHeight="false" outlineLevel="0" collapsed="false">
      <c r="A140" s="12"/>
      <c r="B140" s="12"/>
      <c r="C140" s="12"/>
      <c r="D140" s="13"/>
      <c r="E140" s="12"/>
      <c r="F140" s="12"/>
      <c r="G140" s="12"/>
      <c r="H140" s="14"/>
      <c r="I140" s="15" t="str">
        <f aca="false">IF(OR(E140="",H140=""),"",E140*H140)</f>
        <v/>
      </c>
      <c r="J140" s="12"/>
    </row>
    <row r="141" customFormat="false" ht="15" hidden="false" customHeight="false" outlineLevel="0" collapsed="false">
      <c r="A141" s="12"/>
      <c r="B141" s="12"/>
      <c r="C141" s="12"/>
      <c r="D141" s="13"/>
      <c r="E141" s="12"/>
      <c r="F141" s="12"/>
      <c r="G141" s="12"/>
      <c r="H141" s="14"/>
      <c r="I141" s="15" t="str">
        <f aca="false">IF(OR(E141="",H141=""),"",E141*H141)</f>
        <v/>
      </c>
      <c r="J141" s="12"/>
    </row>
    <row r="142" customFormat="false" ht="15" hidden="false" customHeight="false" outlineLevel="0" collapsed="false">
      <c r="A142" s="12"/>
      <c r="B142" s="12"/>
      <c r="C142" s="12"/>
      <c r="D142" s="13"/>
      <c r="E142" s="12"/>
      <c r="F142" s="12"/>
      <c r="G142" s="12"/>
      <c r="H142" s="14"/>
      <c r="I142" s="15" t="str">
        <f aca="false">IF(OR(E142="",H142=""),"",E142*H142)</f>
        <v/>
      </c>
      <c r="J142" s="12"/>
    </row>
    <row r="143" customFormat="false" ht="15" hidden="false" customHeight="false" outlineLevel="0" collapsed="false">
      <c r="A143" s="12"/>
      <c r="B143" s="12"/>
      <c r="C143" s="12"/>
      <c r="D143" s="13"/>
      <c r="E143" s="12"/>
      <c r="F143" s="12"/>
      <c r="G143" s="12"/>
      <c r="H143" s="14"/>
      <c r="I143" s="15" t="str">
        <f aca="false">IF(OR(E143="",H143=""),"",E143*H143)</f>
        <v/>
      </c>
      <c r="J143" s="12"/>
    </row>
    <row r="144" customFormat="false" ht="15" hidden="false" customHeight="false" outlineLevel="0" collapsed="false">
      <c r="A144" s="12"/>
      <c r="B144" s="12"/>
      <c r="C144" s="12"/>
      <c r="D144" s="13"/>
      <c r="E144" s="12"/>
      <c r="F144" s="12"/>
      <c r="G144" s="12"/>
      <c r="H144" s="14"/>
      <c r="I144" s="15" t="str">
        <f aca="false">IF(OR(E144="",H144=""),"",E144*H144)</f>
        <v/>
      </c>
      <c r="J144" s="12"/>
    </row>
    <row r="145" customFormat="false" ht="15" hidden="false" customHeight="false" outlineLevel="0" collapsed="false">
      <c r="A145" s="12"/>
      <c r="B145" s="12"/>
      <c r="C145" s="12"/>
      <c r="D145" s="13"/>
      <c r="E145" s="12"/>
      <c r="F145" s="12"/>
      <c r="G145" s="12"/>
      <c r="H145" s="14"/>
      <c r="I145" s="15" t="str">
        <f aca="false">IF(OR(E145="",H145=""),"",E145*H145)</f>
        <v/>
      </c>
      <c r="J145" s="12"/>
    </row>
    <row r="146" customFormat="false" ht="15" hidden="false" customHeight="false" outlineLevel="0" collapsed="false">
      <c r="A146" s="12"/>
      <c r="B146" s="12"/>
      <c r="C146" s="12"/>
      <c r="D146" s="13"/>
      <c r="E146" s="12"/>
      <c r="F146" s="12"/>
      <c r="G146" s="12"/>
      <c r="H146" s="14"/>
      <c r="I146" s="15" t="str">
        <f aca="false">IF(OR(E146="",H146=""),"",E146*H146)</f>
        <v/>
      </c>
      <c r="J146" s="12"/>
    </row>
    <row r="147" customFormat="false" ht="15" hidden="false" customHeight="false" outlineLevel="0" collapsed="false">
      <c r="A147" s="12"/>
      <c r="B147" s="12"/>
      <c r="C147" s="12"/>
      <c r="D147" s="13"/>
      <c r="E147" s="12"/>
      <c r="F147" s="12"/>
      <c r="G147" s="12"/>
      <c r="H147" s="14"/>
      <c r="I147" s="15" t="str">
        <f aca="false">IF(OR(E147="",H147=""),"",E147*H147)</f>
        <v/>
      </c>
      <c r="J147" s="12"/>
    </row>
    <row r="148" customFormat="false" ht="15" hidden="false" customHeight="false" outlineLevel="0" collapsed="false">
      <c r="A148" s="12"/>
      <c r="B148" s="12"/>
      <c r="C148" s="12"/>
      <c r="D148" s="13"/>
      <c r="E148" s="12"/>
      <c r="F148" s="12"/>
      <c r="G148" s="12"/>
      <c r="H148" s="14"/>
      <c r="I148" s="15" t="str">
        <f aca="false">IF(OR(E148="",H148=""),"",E148*H148)</f>
        <v/>
      </c>
      <c r="J148" s="12"/>
    </row>
    <row r="149" customFormat="false" ht="15" hidden="false" customHeight="false" outlineLevel="0" collapsed="false">
      <c r="A149" s="12"/>
      <c r="B149" s="12"/>
      <c r="C149" s="12"/>
      <c r="D149" s="13"/>
      <c r="E149" s="12"/>
      <c r="F149" s="12"/>
      <c r="G149" s="12"/>
      <c r="H149" s="14"/>
      <c r="I149" s="15" t="str">
        <f aca="false">IF(OR(E149="",H149=""),"",E149*H149)</f>
        <v/>
      </c>
      <c r="J149" s="12"/>
    </row>
    <row r="150" customFormat="false" ht="15" hidden="false" customHeight="false" outlineLevel="0" collapsed="false">
      <c r="A150" s="12"/>
      <c r="B150" s="12"/>
      <c r="C150" s="12"/>
      <c r="D150" s="13"/>
      <c r="E150" s="12"/>
      <c r="F150" s="12"/>
      <c r="G150" s="12"/>
      <c r="H150" s="14"/>
      <c r="I150" s="15" t="str">
        <f aca="false">IF(OR(E150="",H150=""),"",E150*H150)</f>
        <v/>
      </c>
      <c r="J150" s="12"/>
    </row>
    <row r="151" customFormat="false" ht="15" hidden="false" customHeight="false" outlineLevel="0" collapsed="false">
      <c r="A151" s="12"/>
      <c r="B151" s="12"/>
      <c r="C151" s="12"/>
      <c r="D151" s="13"/>
      <c r="E151" s="12"/>
      <c r="F151" s="12"/>
      <c r="G151" s="12"/>
      <c r="H151" s="14"/>
      <c r="I151" s="15" t="str">
        <f aca="false">IF(OR(E151="",H151=""),"",E151*H151)</f>
        <v/>
      </c>
      <c r="J151" s="12"/>
    </row>
    <row r="152" customFormat="false" ht="15" hidden="false" customHeight="false" outlineLevel="0" collapsed="false">
      <c r="A152" s="12"/>
      <c r="B152" s="12"/>
      <c r="C152" s="12"/>
      <c r="D152" s="13"/>
      <c r="E152" s="12"/>
      <c r="F152" s="12"/>
      <c r="G152" s="12"/>
      <c r="H152" s="14"/>
      <c r="I152" s="15" t="str">
        <f aca="false">IF(OR(E152="",H152=""),"",E152*H152)</f>
        <v/>
      </c>
      <c r="J152" s="12"/>
    </row>
    <row r="153" customFormat="false" ht="15" hidden="false" customHeight="false" outlineLevel="0" collapsed="false">
      <c r="A153" s="12"/>
      <c r="B153" s="12"/>
      <c r="C153" s="12"/>
      <c r="D153" s="13"/>
      <c r="E153" s="12"/>
      <c r="F153" s="12"/>
      <c r="G153" s="12"/>
      <c r="H153" s="14"/>
      <c r="I153" s="15" t="str">
        <f aca="false">IF(OR(E153="",H153=""),"",E153*H153)</f>
        <v/>
      </c>
      <c r="J153" s="12"/>
    </row>
    <row r="154" customFormat="false" ht="15" hidden="false" customHeight="false" outlineLevel="0" collapsed="false">
      <c r="A154" s="12"/>
      <c r="B154" s="12"/>
      <c r="C154" s="12"/>
      <c r="D154" s="13"/>
      <c r="E154" s="12"/>
      <c r="F154" s="12"/>
      <c r="G154" s="12"/>
      <c r="H154" s="14"/>
      <c r="I154" s="15" t="str">
        <f aca="false">IF(OR(E154="",H154=""),"",E154*H154)</f>
        <v/>
      </c>
      <c r="J154" s="12"/>
    </row>
    <row r="155" customFormat="false" ht="15" hidden="false" customHeight="false" outlineLevel="0" collapsed="false">
      <c r="A155" s="12"/>
      <c r="B155" s="12"/>
      <c r="C155" s="12"/>
      <c r="D155" s="13"/>
      <c r="E155" s="12"/>
      <c r="F155" s="12"/>
      <c r="G155" s="12"/>
      <c r="H155" s="14"/>
      <c r="I155" s="15" t="str">
        <f aca="false">IF(OR(E155="",H155=""),"",E155*H155)</f>
        <v/>
      </c>
      <c r="J155" s="12"/>
    </row>
    <row r="156" customFormat="false" ht="15" hidden="false" customHeight="false" outlineLevel="0" collapsed="false">
      <c r="A156" s="12"/>
      <c r="B156" s="12"/>
      <c r="C156" s="12"/>
      <c r="D156" s="13"/>
      <c r="E156" s="12"/>
      <c r="F156" s="12"/>
      <c r="G156" s="12"/>
      <c r="H156" s="14"/>
      <c r="I156" s="15" t="str">
        <f aca="false">IF(OR(E156="",H156=""),"",E156*H156)</f>
        <v/>
      </c>
      <c r="J156" s="12"/>
    </row>
    <row r="157" customFormat="false" ht="15" hidden="false" customHeight="false" outlineLevel="0" collapsed="false">
      <c r="A157" s="12"/>
      <c r="B157" s="12"/>
      <c r="C157" s="12"/>
      <c r="D157" s="13"/>
      <c r="E157" s="12"/>
      <c r="F157" s="12"/>
      <c r="G157" s="12"/>
      <c r="H157" s="14"/>
      <c r="I157" s="15" t="str">
        <f aca="false">IF(OR(E157="",H157=""),"",E157*H157)</f>
        <v/>
      </c>
      <c r="J157" s="12"/>
    </row>
    <row r="158" customFormat="false" ht="15" hidden="false" customHeight="false" outlineLevel="0" collapsed="false">
      <c r="A158" s="12"/>
      <c r="B158" s="12"/>
      <c r="C158" s="12"/>
      <c r="D158" s="13"/>
      <c r="E158" s="12"/>
      <c r="F158" s="12"/>
      <c r="G158" s="12"/>
      <c r="H158" s="14"/>
      <c r="I158" s="15" t="str">
        <f aca="false">IF(OR(E158="",H158=""),"",E158*H158)</f>
        <v/>
      </c>
      <c r="J158" s="12"/>
    </row>
    <row r="159" customFormat="false" ht="15" hidden="false" customHeight="false" outlineLevel="0" collapsed="false">
      <c r="A159" s="12"/>
      <c r="B159" s="12"/>
      <c r="C159" s="12"/>
      <c r="D159" s="13"/>
      <c r="E159" s="12"/>
      <c r="F159" s="12"/>
      <c r="G159" s="12"/>
      <c r="H159" s="14"/>
      <c r="I159" s="15" t="str">
        <f aca="false">IF(OR(E159="",H159=""),"",E159*H159)</f>
        <v/>
      </c>
      <c r="J159" s="12"/>
    </row>
    <row r="160" customFormat="false" ht="15" hidden="false" customHeight="false" outlineLevel="0" collapsed="false">
      <c r="A160" s="12"/>
      <c r="B160" s="12"/>
      <c r="C160" s="12"/>
      <c r="D160" s="13"/>
      <c r="E160" s="12"/>
      <c r="F160" s="12"/>
      <c r="G160" s="12"/>
      <c r="H160" s="14"/>
      <c r="I160" s="15" t="str">
        <f aca="false">IF(OR(E160="",H160=""),"",E160*H160)</f>
        <v/>
      </c>
      <c r="J160" s="12"/>
    </row>
    <row r="161" customFormat="false" ht="15" hidden="false" customHeight="false" outlineLevel="0" collapsed="false">
      <c r="A161" s="12"/>
      <c r="B161" s="12"/>
      <c r="C161" s="12"/>
      <c r="D161" s="13"/>
      <c r="E161" s="12"/>
      <c r="F161" s="12"/>
      <c r="G161" s="12"/>
      <c r="H161" s="14"/>
      <c r="I161" s="15" t="str">
        <f aca="false">IF(OR(E161="",H161=""),"",E161*H161)</f>
        <v/>
      </c>
      <c r="J161" s="12"/>
    </row>
    <row r="162" customFormat="false" ht="15" hidden="false" customHeight="false" outlineLevel="0" collapsed="false">
      <c r="A162" s="12"/>
      <c r="B162" s="12"/>
      <c r="C162" s="12"/>
      <c r="D162" s="13"/>
      <c r="E162" s="12"/>
      <c r="F162" s="12"/>
      <c r="G162" s="12"/>
      <c r="H162" s="14"/>
      <c r="I162" s="15" t="str">
        <f aca="false">IF(OR(E162="",H162=""),"",E162*H162)</f>
        <v/>
      </c>
      <c r="J162" s="12"/>
    </row>
    <row r="163" customFormat="false" ht="15" hidden="false" customHeight="false" outlineLevel="0" collapsed="false">
      <c r="A163" s="12"/>
      <c r="B163" s="12"/>
      <c r="C163" s="12"/>
      <c r="D163" s="13"/>
      <c r="E163" s="12"/>
      <c r="F163" s="12"/>
      <c r="G163" s="12"/>
      <c r="H163" s="14"/>
      <c r="I163" s="15" t="str">
        <f aca="false">IF(OR(E163="",H163=""),"",E163*H163)</f>
        <v/>
      </c>
      <c r="J163" s="12"/>
    </row>
    <row r="164" customFormat="false" ht="15" hidden="false" customHeight="false" outlineLevel="0" collapsed="false">
      <c r="A164" s="12"/>
      <c r="B164" s="12"/>
      <c r="C164" s="12"/>
      <c r="D164" s="13"/>
      <c r="E164" s="12"/>
      <c r="F164" s="12"/>
      <c r="G164" s="12"/>
      <c r="H164" s="14"/>
      <c r="I164" s="15" t="str">
        <f aca="false">IF(OR(E164="",H164=""),"",E164*H164)</f>
        <v/>
      </c>
      <c r="J164" s="12"/>
    </row>
    <row r="165" customFormat="false" ht="15" hidden="false" customHeight="false" outlineLevel="0" collapsed="false">
      <c r="A165" s="12"/>
      <c r="B165" s="12"/>
      <c r="C165" s="12"/>
      <c r="D165" s="13"/>
      <c r="E165" s="12"/>
      <c r="F165" s="12"/>
      <c r="G165" s="12"/>
      <c r="H165" s="14"/>
      <c r="I165" s="15" t="str">
        <f aca="false">IF(OR(E165="",H165=""),"",E165*H165)</f>
        <v/>
      </c>
      <c r="J165" s="12"/>
    </row>
    <row r="166" customFormat="false" ht="15" hidden="false" customHeight="false" outlineLevel="0" collapsed="false">
      <c r="A166" s="12"/>
      <c r="B166" s="12"/>
      <c r="C166" s="12"/>
      <c r="D166" s="13"/>
      <c r="E166" s="12"/>
      <c r="F166" s="12"/>
      <c r="G166" s="12"/>
      <c r="H166" s="14"/>
      <c r="I166" s="15" t="str">
        <f aca="false">IF(OR(E166="",H166=""),"",E166*H166)</f>
        <v/>
      </c>
      <c r="J166" s="12"/>
    </row>
    <row r="167" customFormat="false" ht="15" hidden="false" customHeight="false" outlineLevel="0" collapsed="false">
      <c r="A167" s="12"/>
      <c r="B167" s="12"/>
      <c r="C167" s="12"/>
      <c r="D167" s="13"/>
      <c r="E167" s="12"/>
      <c r="F167" s="12"/>
      <c r="G167" s="12"/>
      <c r="H167" s="14"/>
      <c r="I167" s="15" t="str">
        <f aca="false">IF(OR(E167="",H167=""),"",E167*H167)</f>
        <v/>
      </c>
      <c r="J167" s="12"/>
    </row>
    <row r="168" customFormat="false" ht="15" hidden="false" customHeight="false" outlineLevel="0" collapsed="false">
      <c r="A168" s="12"/>
      <c r="B168" s="12"/>
      <c r="C168" s="12"/>
      <c r="D168" s="13"/>
      <c r="E168" s="12"/>
      <c r="F168" s="12"/>
      <c r="G168" s="12"/>
      <c r="H168" s="14"/>
      <c r="I168" s="15" t="str">
        <f aca="false">IF(OR(E168="",H168=""),"",E168*H168)</f>
        <v/>
      </c>
      <c r="J168" s="12"/>
    </row>
    <row r="169" customFormat="false" ht="15" hidden="false" customHeight="false" outlineLevel="0" collapsed="false">
      <c r="A169" s="12"/>
      <c r="B169" s="12"/>
      <c r="C169" s="12"/>
      <c r="D169" s="13"/>
      <c r="E169" s="12"/>
      <c r="F169" s="12"/>
      <c r="G169" s="12"/>
      <c r="H169" s="14"/>
      <c r="I169" s="15" t="str">
        <f aca="false">IF(OR(E169="",H169=""),"",E169*H169)</f>
        <v/>
      </c>
      <c r="J169" s="12"/>
    </row>
    <row r="170" customFormat="false" ht="15" hidden="false" customHeight="false" outlineLevel="0" collapsed="false">
      <c r="A170" s="12"/>
      <c r="B170" s="12"/>
      <c r="C170" s="12"/>
      <c r="D170" s="13"/>
      <c r="E170" s="12"/>
      <c r="F170" s="12"/>
      <c r="G170" s="12"/>
      <c r="H170" s="14"/>
      <c r="I170" s="15" t="str">
        <f aca="false">IF(OR(E170="",H170=""),"",E170*H170)</f>
        <v/>
      </c>
      <c r="J170" s="12"/>
    </row>
    <row r="171" customFormat="false" ht="15" hidden="false" customHeight="false" outlineLevel="0" collapsed="false">
      <c r="A171" s="12"/>
      <c r="B171" s="12"/>
      <c r="C171" s="12"/>
      <c r="D171" s="13"/>
      <c r="E171" s="12"/>
      <c r="F171" s="12"/>
      <c r="G171" s="12"/>
      <c r="H171" s="14"/>
      <c r="I171" s="15" t="str">
        <f aca="false">IF(OR(E171="",H171=""),"",E171*H171)</f>
        <v/>
      </c>
      <c r="J171" s="12"/>
    </row>
    <row r="172" customFormat="false" ht="15" hidden="false" customHeight="false" outlineLevel="0" collapsed="false">
      <c r="A172" s="12"/>
      <c r="B172" s="12"/>
      <c r="C172" s="12"/>
      <c r="D172" s="13"/>
      <c r="E172" s="12"/>
      <c r="F172" s="12"/>
      <c r="G172" s="12"/>
      <c r="H172" s="14"/>
      <c r="I172" s="15" t="str">
        <f aca="false">IF(OR(E172="",H172=""),"",E172*H172)</f>
        <v/>
      </c>
      <c r="J172" s="12"/>
    </row>
    <row r="173" customFormat="false" ht="15" hidden="false" customHeight="false" outlineLevel="0" collapsed="false">
      <c r="A173" s="12"/>
      <c r="B173" s="12"/>
      <c r="C173" s="12"/>
      <c r="D173" s="13"/>
      <c r="E173" s="12"/>
      <c r="F173" s="12"/>
      <c r="G173" s="12"/>
      <c r="H173" s="14"/>
      <c r="I173" s="15" t="str">
        <f aca="false">IF(OR(E173="",H173=""),"",E173*H173)</f>
        <v/>
      </c>
      <c r="J173" s="12"/>
    </row>
    <row r="174" customFormat="false" ht="15" hidden="false" customHeight="false" outlineLevel="0" collapsed="false">
      <c r="A174" s="12"/>
      <c r="B174" s="12"/>
      <c r="C174" s="12"/>
      <c r="D174" s="13"/>
      <c r="E174" s="12"/>
      <c r="F174" s="12"/>
      <c r="G174" s="12"/>
      <c r="H174" s="14"/>
      <c r="I174" s="15" t="str">
        <f aca="false">IF(OR(E174="",H174=""),"",E174*H174)</f>
        <v/>
      </c>
      <c r="J174" s="12"/>
    </row>
    <row r="175" customFormat="false" ht="15" hidden="false" customHeight="false" outlineLevel="0" collapsed="false">
      <c r="A175" s="12"/>
      <c r="B175" s="12"/>
      <c r="C175" s="12"/>
      <c r="D175" s="13"/>
      <c r="E175" s="12"/>
      <c r="F175" s="12"/>
      <c r="G175" s="12"/>
      <c r="H175" s="14"/>
      <c r="I175" s="15" t="str">
        <f aca="false">IF(OR(E175="",H175=""),"",E175*H175)</f>
        <v/>
      </c>
      <c r="J175" s="12"/>
    </row>
    <row r="176" customFormat="false" ht="15" hidden="false" customHeight="false" outlineLevel="0" collapsed="false">
      <c r="A176" s="12"/>
      <c r="B176" s="12"/>
      <c r="C176" s="12"/>
      <c r="D176" s="13"/>
      <c r="E176" s="12"/>
      <c r="F176" s="12"/>
      <c r="G176" s="12"/>
      <c r="H176" s="14"/>
      <c r="I176" s="15" t="str">
        <f aca="false">IF(OR(E176="",H176=""),"",E176*H176)</f>
        <v/>
      </c>
      <c r="J176" s="12"/>
    </row>
    <row r="177" customFormat="false" ht="15" hidden="false" customHeight="false" outlineLevel="0" collapsed="false">
      <c r="A177" s="12"/>
      <c r="B177" s="12"/>
      <c r="C177" s="12"/>
      <c r="D177" s="13"/>
      <c r="E177" s="12"/>
      <c r="F177" s="12"/>
      <c r="G177" s="12"/>
      <c r="H177" s="14"/>
      <c r="I177" s="15" t="str">
        <f aca="false">IF(OR(E177="",H177=""),"",E177*H177)</f>
        <v/>
      </c>
      <c r="J177" s="12"/>
    </row>
    <row r="178" customFormat="false" ht="15" hidden="false" customHeight="false" outlineLevel="0" collapsed="false">
      <c r="A178" s="12"/>
      <c r="B178" s="12"/>
      <c r="C178" s="12"/>
      <c r="D178" s="13"/>
      <c r="E178" s="12"/>
      <c r="F178" s="12"/>
      <c r="G178" s="12"/>
      <c r="H178" s="14"/>
      <c r="I178" s="15" t="str">
        <f aca="false">IF(OR(E178="",H178=""),"",E178*H178)</f>
        <v/>
      </c>
      <c r="J178" s="12"/>
    </row>
    <row r="179" customFormat="false" ht="15" hidden="false" customHeight="false" outlineLevel="0" collapsed="false">
      <c r="A179" s="12"/>
      <c r="B179" s="12"/>
      <c r="C179" s="12"/>
      <c r="D179" s="13"/>
      <c r="E179" s="12"/>
      <c r="F179" s="12"/>
      <c r="G179" s="12"/>
      <c r="H179" s="14"/>
      <c r="I179" s="15" t="str">
        <f aca="false">IF(OR(E179="",H179=""),"",E179*H179)</f>
        <v/>
      </c>
      <c r="J179" s="12"/>
    </row>
    <row r="180" customFormat="false" ht="15" hidden="false" customHeight="false" outlineLevel="0" collapsed="false">
      <c r="A180" s="12"/>
      <c r="B180" s="12"/>
      <c r="C180" s="12"/>
      <c r="D180" s="13"/>
      <c r="E180" s="12"/>
      <c r="F180" s="12"/>
      <c r="G180" s="12"/>
      <c r="H180" s="14"/>
      <c r="I180" s="15" t="str">
        <f aca="false">IF(OR(E180="",H180=""),"",E180*H180)</f>
        <v/>
      </c>
      <c r="J180" s="12"/>
    </row>
    <row r="181" customFormat="false" ht="15" hidden="false" customHeight="false" outlineLevel="0" collapsed="false">
      <c r="A181" s="12"/>
      <c r="B181" s="12"/>
      <c r="C181" s="12"/>
      <c r="D181" s="13"/>
      <c r="E181" s="12"/>
      <c r="F181" s="12"/>
      <c r="G181" s="12"/>
      <c r="H181" s="14"/>
      <c r="I181" s="15" t="str">
        <f aca="false">IF(OR(E181="",H181=""),"",E181*H181)</f>
        <v/>
      </c>
      <c r="J181" s="12"/>
    </row>
    <row r="182" customFormat="false" ht="15" hidden="false" customHeight="false" outlineLevel="0" collapsed="false">
      <c r="A182" s="12"/>
      <c r="B182" s="12"/>
      <c r="C182" s="12"/>
      <c r="D182" s="13"/>
      <c r="E182" s="12"/>
      <c r="F182" s="12"/>
      <c r="G182" s="12"/>
      <c r="H182" s="14"/>
      <c r="I182" s="15" t="str">
        <f aca="false">IF(OR(E182="",H182=""),"",E182*H182)</f>
        <v/>
      </c>
      <c r="J182" s="12"/>
    </row>
    <row r="183" customFormat="false" ht="15" hidden="false" customHeight="false" outlineLevel="0" collapsed="false">
      <c r="A183" s="12"/>
      <c r="B183" s="12"/>
      <c r="C183" s="12"/>
      <c r="D183" s="13"/>
      <c r="E183" s="12"/>
      <c r="F183" s="12"/>
      <c r="G183" s="12"/>
      <c r="H183" s="14"/>
      <c r="I183" s="15" t="str">
        <f aca="false">IF(OR(E183="",H183=""),"",E183*H183)</f>
        <v/>
      </c>
      <c r="J183" s="12"/>
    </row>
    <row r="184" customFormat="false" ht="15" hidden="false" customHeight="false" outlineLevel="0" collapsed="false">
      <c r="A184" s="12"/>
      <c r="B184" s="12"/>
      <c r="C184" s="12"/>
      <c r="D184" s="13"/>
      <c r="E184" s="12"/>
      <c r="F184" s="12"/>
      <c r="G184" s="12"/>
      <c r="H184" s="14"/>
      <c r="I184" s="15" t="str">
        <f aca="false">IF(OR(E184="",H184=""),"",E184*H184)</f>
        <v/>
      </c>
      <c r="J184" s="12"/>
    </row>
    <row r="185" customFormat="false" ht="15" hidden="false" customHeight="false" outlineLevel="0" collapsed="false">
      <c r="A185" s="12"/>
      <c r="B185" s="12"/>
      <c r="C185" s="12"/>
      <c r="D185" s="13"/>
      <c r="E185" s="12"/>
      <c r="F185" s="12"/>
      <c r="G185" s="12"/>
      <c r="H185" s="14"/>
      <c r="I185" s="15" t="str">
        <f aca="false">IF(OR(E185="",H185=""),"",E185*H185)</f>
        <v/>
      </c>
      <c r="J185" s="12"/>
    </row>
    <row r="186" customFormat="false" ht="15" hidden="false" customHeight="false" outlineLevel="0" collapsed="false">
      <c r="A186" s="12"/>
      <c r="B186" s="12"/>
      <c r="C186" s="12"/>
      <c r="D186" s="13"/>
      <c r="E186" s="12"/>
      <c r="F186" s="12"/>
      <c r="G186" s="12"/>
      <c r="H186" s="14"/>
      <c r="I186" s="15" t="str">
        <f aca="false">IF(OR(E186="",H186=""),"",E186*H186)</f>
        <v/>
      </c>
      <c r="J186" s="12"/>
    </row>
    <row r="187" customFormat="false" ht="15" hidden="false" customHeight="false" outlineLevel="0" collapsed="false">
      <c r="A187" s="12"/>
      <c r="B187" s="12"/>
      <c r="C187" s="12"/>
      <c r="D187" s="13"/>
      <c r="E187" s="12"/>
      <c r="F187" s="12"/>
      <c r="G187" s="12"/>
      <c r="H187" s="14"/>
      <c r="I187" s="15" t="str">
        <f aca="false">IF(OR(E187="",H187=""),"",E187*H187)</f>
        <v/>
      </c>
      <c r="J187" s="12"/>
    </row>
    <row r="188" customFormat="false" ht="15" hidden="false" customHeight="false" outlineLevel="0" collapsed="false">
      <c r="A188" s="12"/>
      <c r="B188" s="12"/>
      <c r="C188" s="12"/>
      <c r="D188" s="13"/>
      <c r="E188" s="12"/>
      <c r="F188" s="12"/>
      <c r="G188" s="12"/>
      <c r="H188" s="14"/>
      <c r="I188" s="15" t="str">
        <f aca="false">IF(OR(E188="",H188=""),"",E188*H188)</f>
        <v/>
      </c>
      <c r="J188" s="12"/>
    </row>
    <row r="189" customFormat="false" ht="15" hidden="false" customHeight="false" outlineLevel="0" collapsed="false">
      <c r="A189" s="12"/>
      <c r="B189" s="12"/>
      <c r="C189" s="12"/>
      <c r="D189" s="13"/>
      <c r="E189" s="12"/>
      <c r="F189" s="12"/>
      <c r="G189" s="12"/>
      <c r="H189" s="14"/>
      <c r="I189" s="15" t="str">
        <f aca="false">IF(OR(E189="",H189=""),"",E189*H189)</f>
        <v/>
      </c>
      <c r="J189" s="12"/>
    </row>
    <row r="190" customFormat="false" ht="15" hidden="false" customHeight="false" outlineLevel="0" collapsed="false">
      <c r="A190" s="12"/>
      <c r="B190" s="12"/>
      <c r="C190" s="12"/>
      <c r="D190" s="13"/>
      <c r="E190" s="12"/>
      <c r="F190" s="12"/>
      <c r="G190" s="12"/>
      <c r="H190" s="14"/>
      <c r="I190" s="15" t="str">
        <f aca="false">IF(OR(E190="",H190=""),"",E190*H190)</f>
        <v/>
      </c>
      <c r="J190" s="12"/>
    </row>
    <row r="191" customFormat="false" ht="15" hidden="false" customHeight="false" outlineLevel="0" collapsed="false">
      <c r="A191" s="12"/>
      <c r="B191" s="12"/>
      <c r="C191" s="12"/>
      <c r="D191" s="13"/>
      <c r="E191" s="12"/>
      <c r="F191" s="12"/>
      <c r="G191" s="12"/>
      <c r="H191" s="14"/>
      <c r="I191" s="15" t="str">
        <f aca="false">IF(OR(E191="",H191=""),"",E191*H191)</f>
        <v/>
      </c>
      <c r="J191" s="12"/>
    </row>
    <row r="192" customFormat="false" ht="15" hidden="false" customHeight="false" outlineLevel="0" collapsed="false">
      <c r="A192" s="12"/>
      <c r="B192" s="12"/>
      <c r="C192" s="12"/>
      <c r="D192" s="13"/>
      <c r="E192" s="12"/>
      <c r="F192" s="12"/>
      <c r="G192" s="12"/>
      <c r="H192" s="14"/>
      <c r="I192" s="15" t="str">
        <f aca="false">IF(OR(E192="",H192=""),"",E192*H192)</f>
        <v/>
      </c>
      <c r="J192" s="12"/>
    </row>
    <row r="193" customFormat="false" ht="15" hidden="false" customHeight="false" outlineLevel="0" collapsed="false">
      <c r="A193" s="12"/>
      <c r="B193" s="12"/>
      <c r="C193" s="12"/>
      <c r="D193" s="13"/>
      <c r="E193" s="12"/>
      <c r="F193" s="12"/>
      <c r="G193" s="12"/>
      <c r="H193" s="14"/>
      <c r="I193" s="15" t="str">
        <f aca="false">IF(OR(E193="",H193=""),"",E193*H193)</f>
        <v/>
      </c>
      <c r="J193" s="12"/>
    </row>
    <row r="194" customFormat="false" ht="15" hidden="false" customHeight="false" outlineLevel="0" collapsed="false">
      <c r="A194" s="12"/>
      <c r="B194" s="12"/>
      <c r="C194" s="12"/>
      <c r="D194" s="13"/>
      <c r="E194" s="12"/>
      <c r="F194" s="12"/>
      <c r="G194" s="12"/>
      <c r="H194" s="14"/>
      <c r="I194" s="15" t="str">
        <f aca="false">IF(OR(E194="",H194=""),"",E194*H194)</f>
        <v/>
      </c>
      <c r="J194" s="12"/>
    </row>
    <row r="195" customFormat="false" ht="15" hidden="false" customHeight="false" outlineLevel="0" collapsed="false">
      <c r="A195" s="12"/>
      <c r="B195" s="12"/>
      <c r="C195" s="12"/>
      <c r="D195" s="13"/>
      <c r="E195" s="12"/>
      <c r="F195" s="12"/>
      <c r="G195" s="12"/>
      <c r="H195" s="14"/>
      <c r="I195" s="15" t="str">
        <f aca="false">IF(OR(E195="",H195=""),"",E195*H195)</f>
        <v/>
      </c>
      <c r="J195" s="12"/>
    </row>
    <row r="196" customFormat="false" ht="15" hidden="false" customHeight="false" outlineLevel="0" collapsed="false">
      <c r="A196" s="12"/>
      <c r="B196" s="12"/>
      <c r="C196" s="12"/>
      <c r="D196" s="13"/>
      <c r="E196" s="12"/>
      <c r="F196" s="12"/>
      <c r="G196" s="12"/>
      <c r="H196" s="14"/>
      <c r="I196" s="15" t="str">
        <f aca="false">IF(OR(E196="",H196=""),"",E196*H196)</f>
        <v/>
      </c>
      <c r="J196" s="12"/>
    </row>
    <row r="197" customFormat="false" ht="15" hidden="false" customHeight="false" outlineLevel="0" collapsed="false">
      <c r="A197" s="12"/>
      <c r="B197" s="12"/>
      <c r="C197" s="12"/>
      <c r="D197" s="13"/>
      <c r="E197" s="12"/>
      <c r="F197" s="12"/>
      <c r="G197" s="12"/>
      <c r="H197" s="14"/>
      <c r="I197" s="15" t="str">
        <f aca="false">IF(OR(E197="",H197=""),"",E197*H197)</f>
        <v/>
      </c>
      <c r="J197" s="12"/>
    </row>
    <row r="198" customFormat="false" ht="15" hidden="false" customHeight="false" outlineLevel="0" collapsed="false">
      <c r="A198" s="12"/>
      <c r="B198" s="12"/>
      <c r="C198" s="12"/>
      <c r="D198" s="13"/>
      <c r="E198" s="12"/>
      <c r="F198" s="12"/>
      <c r="G198" s="12"/>
      <c r="H198" s="14"/>
      <c r="I198" s="15" t="str">
        <f aca="false">IF(OR(E198="",H198=""),"",E198*H198)</f>
        <v/>
      </c>
      <c r="J198" s="12"/>
    </row>
    <row r="199" customFormat="false" ht="15" hidden="false" customHeight="false" outlineLevel="0" collapsed="false">
      <c r="A199" s="12"/>
      <c r="B199" s="12"/>
      <c r="C199" s="12"/>
      <c r="D199" s="13"/>
      <c r="E199" s="12"/>
      <c r="F199" s="12"/>
      <c r="G199" s="12"/>
      <c r="H199" s="14"/>
      <c r="I199" s="15" t="str">
        <f aca="false">IF(OR(E199="",H199=""),"",E199*H199)</f>
        <v/>
      </c>
      <c r="J199" s="12"/>
    </row>
    <row r="200" customFormat="false" ht="15" hidden="false" customHeight="false" outlineLevel="0" collapsed="false">
      <c r="A200" s="12"/>
      <c r="B200" s="12"/>
      <c r="C200" s="12"/>
      <c r="D200" s="13"/>
      <c r="E200" s="12"/>
      <c r="F200" s="12"/>
      <c r="G200" s="12"/>
      <c r="H200" s="14"/>
      <c r="I200" s="15" t="str">
        <f aca="false">IF(OR(E200="",H200=""),"",E200*H200)</f>
        <v/>
      </c>
      <c r="J200" s="12"/>
    </row>
  </sheetData>
  <autoFilter ref="A1:J200"/>
  <conditionalFormatting sqref="E2:E200">
    <cfRule type="expression" priority="2" aboveAverage="0" equalAverage="0" bottom="0" percent="0" rank="0" text="" dxfId="6">
      <formula>AND(ISNUMBER($E2),$E2&lt;0)</formula>
    </cfRule>
    <cfRule type="expression" priority="3" aboveAverage="0" equalAverage="0" bottom="0" percent="0" rank="0" text="" dxfId="4">
      <formula>AND(ISNUMBER($E2),$E2=0)</formula>
    </cfRule>
  </conditionalFormatting>
  <conditionalFormatting sqref="A2:J200">
    <cfRule type="expression" priority="4" aboveAverage="0" equalAverage="0" bottom="0" percent="0" rank="0" text="" dxfId="7">
      <formula>AND(ISNUMBER($G2),ISNUMBER($E2),$E2&lt;=$G2)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8"/>
    <col collapsed="false" customWidth="true" hidden="false" outlineLevel="0" max="4" min="4" style="0" width="20"/>
    <col collapsed="false" customWidth="true" hidden="false" outlineLevel="0" max="5" min="5" style="0" width="12"/>
    <col collapsed="false" customWidth="true" hidden="false" outlineLevel="0" max="6" min="6" style="0" width="8"/>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60"/>
  </cols>
  <sheetData>
    <row r="1" customFormat="false" ht="30" hidden="false" customHeight="true" outlineLevel="0" collapsed="false">
      <c r="A1" s="1" t="s">
        <v>95</v>
      </c>
      <c r="B1" s="1" t="s">
        <v>0</v>
      </c>
      <c r="C1" s="1" t="s">
        <v>1</v>
      </c>
      <c r="D1" s="1" t="s">
        <v>2</v>
      </c>
      <c r="E1" s="1" t="s">
        <v>96</v>
      </c>
      <c r="F1" s="1" t="s">
        <v>97</v>
      </c>
      <c r="G1" s="1" t="s">
        <v>98</v>
      </c>
      <c r="H1" s="1" t="s">
        <v>99</v>
      </c>
      <c r="I1" s="1" t="s">
        <v>100</v>
      </c>
      <c r="J1" s="1" t="s">
        <v>101</v>
      </c>
    </row>
    <row r="2" customFormat="false" ht="15" hidden="false" customHeight="false" outlineLevel="0" collapsed="false">
      <c r="A2" s="2" t="s">
        <v>4</v>
      </c>
      <c r="B2" s="2" t="s">
        <v>6</v>
      </c>
      <c r="C2" s="2" t="s">
        <v>7</v>
      </c>
      <c r="D2" s="3" t="s">
        <v>8</v>
      </c>
      <c r="E2" s="7" t="n">
        <v>1</v>
      </c>
      <c r="F2" s="7" t="s">
        <v>105</v>
      </c>
      <c r="G2" s="7"/>
      <c r="H2" s="8"/>
      <c r="I2" s="9" t="str">
        <f aca="false">IF(OR(E2="",H2=""),"",E2*H2)</f>
        <v/>
      </c>
      <c r="J2" s="10" t="s">
        <v>132</v>
      </c>
    </row>
    <row r="3" customFormat="false" ht="15" hidden="false" customHeight="false" outlineLevel="0" collapsed="false">
      <c r="A3" s="2" t="s">
        <v>4</v>
      </c>
      <c r="B3" s="2" t="s">
        <v>6</v>
      </c>
      <c r="C3" s="2" t="s">
        <v>7</v>
      </c>
      <c r="D3" s="3" t="s">
        <v>9</v>
      </c>
      <c r="E3" s="7" t="n">
        <v>2</v>
      </c>
      <c r="F3" s="7" t="s">
        <v>105</v>
      </c>
      <c r="G3" s="7"/>
      <c r="H3" s="8"/>
      <c r="I3" s="9" t="str">
        <f aca="false">IF(OR(E3="",H3=""),"",E3*H3)</f>
        <v/>
      </c>
      <c r="J3" s="10" t="s">
        <v>132</v>
      </c>
    </row>
    <row r="4" customFormat="false" ht="15" hidden="false" customHeight="false" outlineLevel="0" collapsed="false">
      <c r="A4" s="2" t="s">
        <v>4</v>
      </c>
      <c r="B4" s="2" t="s">
        <v>10</v>
      </c>
      <c r="C4" s="2" t="s">
        <v>7</v>
      </c>
      <c r="D4" s="3" t="s">
        <v>8</v>
      </c>
      <c r="E4" s="7" t="n">
        <v>2</v>
      </c>
      <c r="F4" s="7" t="s">
        <v>102</v>
      </c>
      <c r="G4" s="7"/>
      <c r="H4" s="8"/>
      <c r="I4" s="9" t="str">
        <f aca="false">IF(OR(E4="",H4=""),"",E4*H4)</f>
        <v/>
      </c>
      <c r="J4" s="10" t="s">
        <v>132</v>
      </c>
    </row>
    <row r="5" customFormat="false" ht="15" hidden="false" customHeight="false" outlineLevel="0" collapsed="false">
      <c r="A5" s="2" t="s">
        <v>4</v>
      </c>
      <c r="B5" s="2" t="s">
        <v>10</v>
      </c>
      <c r="C5" s="2" t="s">
        <v>7</v>
      </c>
      <c r="D5" s="3" t="s">
        <v>11</v>
      </c>
      <c r="E5" s="7" t="n">
        <v>12</v>
      </c>
      <c r="F5" s="7" t="s">
        <v>102</v>
      </c>
      <c r="G5" s="7"/>
      <c r="H5" s="8"/>
      <c r="I5" s="9" t="str">
        <f aca="false">IF(OR(E5="",H5=""),"",E5*H5)</f>
        <v/>
      </c>
      <c r="J5" s="10" t="s">
        <v>132</v>
      </c>
    </row>
    <row r="6" customFormat="false" ht="15" hidden="false" customHeight="false" outlineLevel="0" collapsed="false">
      <c r="A6" s="2" t="s">
        <v>4</v>
      </c>
      <c r="B6" s="2" t="s">
        <v>12</v>
      </c>
      <c r="C6" s="2" t="s">
        <v>7</v>
      </c>
      <c r="D6" s="3" t="s">
        <v>13</v>
      </c>
      <c r="E6" s="7" t="n">
        <v>7</v>
      </c>
      <c r="F6" s="7" t="s">
        <v>102</v>
      </c>
      <c r="G6" s="7"/>
      <c r="H6" s="8"/>
      <c r="I6" s="9" t="str">
        <f aca="false">IF(OR(E6="",H6=""),"",E6*H6)</f>
        <v/>
      </c>
      <c r="J6" s="10" t="s">
        <v>133</v>
      </c>
    </row>
    <row r="7" customFormat="false" ht="15" hidden="false" customHeight="false" outlineLevel="0" collapsed="false">
      <c r="A7" s="2" t="s">
        <v>4</v>
      </c>
      <c r="B7" s="2" t="s">
        <v>12</v>
      </c>
      <c r="C7" s="2" t="s">
        <v>7</v>
      </c>
      <c r="D7" s="3" t="s">
        <v>14</v>
      </c>
      <c r="E7" s="7" t="n">
        <v>9</v>
      </c>
      <c r="F7" s="7" t="s">
        <v>102</v>
      </c>
      <c r="G7" s="7"/>
      <c r="H7" s="8"/>
      <c r="I7" s="9" t="str">
        <f aca="false">IF(OR(E7="",H7=""),"",E7*H7)</f>
        <v/>
      </c>
      <c r="J7" s="10" t="s">
        <v>133</v>
      </c>
    </row>
    <row r="8" customFormat="false" ht="15" hidden="false" customHeight="false" outlineLevel="0" collapsed="false">
      <c r="A8" s="2" t="s">
        <v>4</v>
      </c>
      <c r="B8" s="2" t="s">
        <v>55</v>
      </c>
      <c r="C8" s="2" t="s">
        <v>56</v>
      </c>
      <c r="D8" s="3" t="s">
        <v>16</v>
      </c>
      <c r="E8" s="7" t="n">
        <v>2</v>
      </c>
      <c r="F8" s="7" t="s">
        <v>102</v>
      </c>
      <c r="G8" s="7"/>
      <c r="H8" s="8"/>
      <c r="I8" s="9" t="str">
        <f aca="false">IF(OR(E8="",H8=""),"",E8*H8)</f>
        <v/>
      </c>
      <c r="J8" s="10" t="s">
        <v>132</v>
      </c>
    </row>
    <row r="9" customFormat="false" ht="15" hidden="false" customHeight="false" outlineLevel="0" collapsed="false">
      <c r="A9" s="2" t="s">
        <v>4</v>
      </c>
      <c r="B9" s="2" t="s">
        <v>55</v>
      </c>
      <c r="C9" s="2" t="s">
        <v>56</v>
      </c>
      <c r="D9" s="3" t="s">
        <v>17</v>
      </c>
      <c r="E9" s="7" t="n">
        <v>3</v>
      </c>
      <c r="F9" s="7" t="s">
        <v>102</v>
      </c>
      <c r="G9" s="7"/>
      <c r="H9" s="8"/>
      <c r="I9" s="9" t="str">
        <f aca="false">IF(OR(E9="",H9=""),"",E9*H9)</f>
        <v/>
      </c>
      <c r="J9" s="10" t="s">
        <v>132</v>
      </c>
    </row>
    <row r="10" customFormat="false" ht="15" hidden="false" customHeight="false" outlineLevel="0" collapsed="false">
      <c r="A10" s="2" t="s">
        <v>4</v>
      </c>
      <c r="B10" s="2" t="s">
        <v>55</v>
      </c>
      <c r="C10" s="2" t="s">
        <v>56</v>
      </c>
      <c r="D10" s="3" t="s">
        <v>13</v>
      </c>
      <c r="E10" s="7" t="n">
        <v>0</v>
      </c>
      <c r="F10" s="7" t="s">
        <v>102</v>
      </c>
      <c r="G10" s="7"/>
      <c r="H10" s="8"/>
      <c r="I10" s="9" t="str">
        <f aca="false">IF(OR(E10="",H10=""),"",E10*H10)</f>
        <v/>
      </c>
      <c r="J10" s="10" t="s">
        <v>134</v>
      </c>
    </row>
    <row r="11" customFormat="false" ht="15" hidden="false" customHeight="false" outlineLevel="0" collapsed="false">
      <c r="A11" s="2" t="s">
        <v>4</v>
      </c>
      <c r="B11" s="2" t="s">
        <v>55</v>
      </c>
      <c r="C11" s="2" t="s">
        <v>56</v>
      </c>
      <c r="D11" s="3" t="s">
        <v>14</v>
      </c>
      <c r="E11" s="7" t="n">
        <v>0</v>
      </c>
      <c r="F11" s="7" t="s">
        <v>102</v>
      </c>
      <c r="G11" s="7"/>
      <c r="H11" s="8"/>
      <c r="I11" s="9" t="str">
        <f aca="false">IF(OR(E11="",H11=""),"",E11*H11)</f>
        <v/>
      </c>
      <c r="J11" s="10" t="s">
        <v>134</v>
      </c>
    </row>
    <row r="12" customFormat="false" ht="15" hidden="false" customHeight="false" outlineLevel="0" collapsed="false">
      <c r="A12" s="2" t="s">
        <v>4</v>
      </c>
      <c r="B12" s="2" t="s">
        <v>55</v>
      </c>
      <c r="C12" s="2" t="s">
        <v>56</v>
      </c>
      <c r="D12" s="3" t="s">
        <v>57</v>
      </c>
      <c r="E12" s="7" t="n">
        <v>2</v>
      </c>
      <c r="F12" s="7" t="s">
        <v>102</v>
      </c>
      <c r="G12" s="7"/>
      <c r="H12" s="8"/>
      <c r="I12" s="9" t="str">
        <f aca="false">IF(OR(E12="",H12=""),"",E12*H12)</f>
        <v/>
      </c>
      <c r="J12" s="10" t="s">
        <v>135</v>
      </c>
    </row>
    <row r="13" customFormat="false" ht="15" hidden="false" customHeight="false" outlineLevel="0" collapsed="false">
      <c r="A13" s="2" t="s">
        <v>4</v>
      </c>
      <c r="B13" s="2" t="s">
        <v>55</v>
      </c>
      <c r="C13" s="2" t="s">
        <v>56</v>
      </c>
      <c r="D13" s="3" t="s">
        <v>58</v>
      </c>
      <c r="E13" s="7" t="n">
        <v>1</v>
      </c>
      <c r="F13" s="7" t="s">
        <v>102</v>
      </c>
      <c r="G13" s="7"/>
      <c r="H13" s="8"/>
      <c r="I13" s="9" t="str">
        <f aca="false">IF(OR(E13="",H13=""),"",E13*H13)</f>
        <v/>
      </c>
      <c r="J13" s="10" t="s">
        <v>135</v>
      </c>
    </row>
    <row r="14" customFormat="false" ht="15" hidden="false" customHeight="false" outlineLevel="0" collapsed="false">
      <c r="A14" s="2" t="s">
        <v>4</v>
      </c>
      <c r="B14" s="2" t="s">
        <v>55</v>
      </c>
      <c r="C14" s="2" t="s">
        <v>56</v>
      </c>
      <c r="D14" s="3" t="s">
        <v>59</v>
      </c>
      <c r="E14" s="7" t="n">
        <v>4</v>
      </c>
      <c r="F14" s="7" t="s">
        <v>102</v>
      </c>
      <c r="G14" s="7"/>
      <c r="H14" s="8"/>
      <c r="I14" s="9" t="str">
        <f aca="false">IF(OR(E14="",H14=""),"",E14*H14)</f>
        <v/>
      </c>
      <c r="J14" s="10" t="s">
        <v>135</v>
      </c>
    </row>
    <row r="15" customFormat="false" ht="15" hidden="false" customHeight="false" outlineLevel="0" collapsed="false">
      <c r="A15" s="2" t="s">
        <v>4</v>
      </c>
      <c r="B15" s="2" t="s">
        <v>55</v>
      </c>
      <c r="C15" s="2" t="s">
        <v>56</v>
      </c>
      <c r="D15" s="3" t="s">
        <v>60</v>
      </c>
      <c r="E15" s="7" t="n">
        <v>2</v>
      </c>
      <c r="F15" s="7" t="s">
        <v>102</v>
      </c>
      <c r="G15" s="7"/>
      <c r="H15" s="8"/>
      <c r="I15" s="9" t="str">
        <f aca="false">IF(OR(E15="",H15=""),"",E15*H15)</f>
        <v/>
      </c>
      <c r="J15" s="10" t="s">
        <v>135</v>
      </c>
    </row>
    <row r="16" customFormat="false" ht="15" hidden="false" customHeight="false" outlineLevel="0" collapsed="false">
      <c r="A16" s="2" t="s">
        <v>4</v>
      </c>
      <c r="B16" s="2" t="s">
        <v>55</v>
      </c>
      <c r="C16" s="2" t="s">
        <v>56</v>
      </c>
      <c r="D16" s="3" t="s">
        <v>61</v>
      </c>
      <c r="E16" s="7" t="n">
        <v>3</v>
      </c>
      <c r="F16" s="7" t="s">
        <v>102</v>
      </c>
      <c r="G16" s="7"/>
      <c r="H16" s="8"/>
      <c r="I16" s="9" t="str">
        <f aca="false">IF(OR(E16="",H16=""),"",E16*H16)</f>
        <v/>
      </c>
      <c r="J16" s="10" t="s">
        <v>135</v>
      </c>
    </row>
    <row r="17" customFormat="false" ht="15" hidden="false" customHeight="false" outlineLevel="0" collapsed="false">
      <c r="A17" s="2" t="s">
        <v>4</v>
      </c>
      <c r="B17" s="2" t="s">
        <v>34</v>
      </c>
      <c r="C17" s="2" t="s">
        <v>35</v>
      </c>
      <c r="D17" s="3" t="s">
        <v>36</v>
      </c>
      <c r="E17" s="7" t="n">
        <v>2</v>
      </c>
      <c r="F17" s="7" t="s">
        <v>102</v>
      </c>
      <c r="G17" s="7"/>
      <c r="H17" s="8"/>
      <c r="I17" s="9" t="str">
        <f aca="false">IF(OR(E17="",H17=""),"",E17*H17)</f>
        <v/>
      </c>
      <c r="J17" s="10" t="s">
        <v>132</v>
      </c>
    </row>
    <row r="18" customFormat="false" ht="15" hidden="false" customHeight="false" outlineLevel="0" collapsed="false">
      <c r="A18" s="2" t="s">
        <v>4</v>
      </c>
      <c r="B18" s="2" t="s">
        <v>34</v>
      </c>
      <c r="C18" s="2" t="s">
        <v>35</v>
      </c>
      <c r="D18" s="3" t="s">
        <v>37</v>
      </c>
      <c r="E18" s="7" t="n">
        <v>2</v>
      </c>
      <c r="F18" s="7" t="s">
        <v>102</v>
      </c>
      <c r="G18" s="7"/>
      <c r="H18" s="8"/>
      <c r="I18" s="9" t="str">
        <f aca="false">IF(OR(E18="",H18=""),"",E18*H18)</f>
        <v/>
      </c>
      <c r="J18" s="10" t="s">
        <v>132</v>
      </c>
    </row>
    <row r="19" customFormat="false" ht="15" hidden="false" customHeight="false" outlineLevel="0" collapsed="false">
      <c r="A19" s="2" t="s">
        <v>4</v>
      </c>
      <c r="B19" s="2" t="s">
        <v>34</v>
      </c>
      <c r="C19" s="2" t="s">
        <v>35</v>
      </c>
      <c r="D19" s="3" t="s">
        <v>38</v>
      </c>
      <c r="E19" s="7" t="n">
        <v>2</v>
      </c>
      <c r="F19" s="7" t="s">
        <v>102</v>
      </c>
      <c r="G19" s="7"/>
      <c r="H19" s="8"/>
      <c r="I19" s="9" t="str">
        <f aca="false">IF(OR(E19="",H19=""),"",E19*H19)</f>
        <v/>
      </c>
      <c r="J19" s="10" t="s">
        <v>132</v>
      </c>
    </row>
    <row r="20" customFormat="false" ht="15" hidden="false" customHeight="false" outlineLevel="0" collapsed="false">
      <c r="A20" s="2" t="s">
        <v>4</v>
      </c>
      <c r="B20" s="2" t="s">
        <v>34</v>
      </c>
      <c r="C20" s="2" t="s">
        <v>35</v>
      </c>
      <c r="D20" s="3" t="s">
        <v>39</v>
      </c>
      <c r="E20" s="7" t="n">
        <v>2</v>
      </c>
      <c r="F20" s="7" t="s">
        <v>102</v>
      </c>
      <c r="G20" s="7"/>
      <c r="H20" s="8"/>
      <c r="I20" s="9" t="str">
        <f aca="false">IF(OR(E20="",H20=""),"",E20*H20)</f>
        <v/>
      </c>
      <c r="J20" s="10" t="s">
        <v>132</v>
      </c>
    </row>
    <row r="21" customFormat="false" ht="15" hidden="false" customHeight="false" outlineLevel="0" collapsed="false">
      <c r="A21" s="2" t="s">
        <v>4</v>
      </c>
      <c r="B21" s="2" t="s">
        <v>34</v>
      </c>
      <c r="C21" s="2" t="s">
        <v>35</v>
      </c>
      <c r="D21" s="3" t="s">
        <v>40</v>
      </c>
      <c r="E21" s="7" t="n">
        <v>5</v>
      </c>
      <c r="F21" s="7" t="s">
        <v>102</v>
      </c>
      <c r="G21" s="7"/>
      <c r="H21" s="8"/>
      <c r="I21" s="9" t="str">
        <f aca="false">IF(OR(E21="",H21=""),"",E21*H21)</f>
        <v/>
      </c>
      <c r="J21" s="10" t="s">
        <v>132</v>
      </c>
    </row>
    <row r="22" customFormat="false" ht="15" hidden="false" customHeight="false" outlineLevel="0" collapsed="false">
      <c r="A22" s="2" t="s">
        <v>4</v>
      </c>
      <c r="B22" s="2" t="s">
        <v>34</v>
      </c>
      <c r="C22" s="2" t="s">
        <v>35</v>
      </c>
      <c r="D22" s="3" t="s">
        <v>41</v>
      </c>
      <c r="E22" s="7" t="n">
        <v>3</v>
      </c>
      <c r="F22" s="7" t="s">
        <v>102</v>
      </c>
      <c r="G22" s="7"/>
      <c r="H22" s="8"/>
      <c r="I22" s="9" t="str">
        <f aca="false">IF(OR(E22="",H22=""),"",E22*H22)</f>
        <v/>
      </c>
      <c r="J22" s="10" t="s">
        <v>132</v>
      </c>
    </row>
    <row r="23" customFormat="false" ht="15" hidden="false" customHeight="false" outlineLevel="0" collapsed="false">
      <c r="A23" s="2" t="s">
        <v>4</v>
      </c>
      <c r="B23" s="2" t="s">
        <v>34</v>
      </c>
      <c r="C23" s="2" t="s">
        <v>35</v>
      </c>
      <c r="D23" s="3" t="s">
        <v>42</v>
      </c>
      <c r="E23" s="7" t="n">
        <v>3</v>
      </c>
      <c r="F23" s="7" t="s">
        <v>102</v>
      </c>
      <c r="G23" s="7"/>
      <c r="H23" s="8"/>
      <c r="I23" s="9" t="str">
        <f aca="false">IF(OR(E23="",H23=""),"",E23*H23)</f>
        <v/>
      </c>
      <c r="J23" s="10" t="s">
        <v>132</v>
      </c>
    </row>
    <row r="24" customFormat="false" ht="15" hidden="false" customHeight="false" outlineLevel="0" collapsed="false">
      <c r="A24" s="2" t="s">
        <v>4</v>
      </c>
      <c r="B24" s="2" t="s">
        <v>34</v>
      </c>
      <c r="C24" s="2" t="s">
        <v>35</v>
      </c>
      <c r="D24" s="3" t="s">
        <v>43</v>
      </c>
      <c r="E24" s="7" t="n">
        <v>1</v>
      </c>
      <c r="F24" s="7" t="s">
        <v>102</v>
      </c>
      <c r="G24" s="7"/>
      <c r="H24" s="8"/>
      <c r="I24" s="9" t="str">
        <f aca="false">IF(OR(E24="",H24=""),"",E24*H24)</f>
        <v/>
      </c>
      <c r="J24" s="10" t="s">
        <v>132</v>
      </c>
    </row>
    <row r="25" customFormat="false" ht="15" hidden="false" customHeight="false" outlineLevel="0" collapsed="false">
      <c r="A25" s="2" t="s">
        <v>4</v>
      </c>
      <c r="B25" s="2" t="s">
        <v>34</v>
      </c>
      <c r="C25" s="2" t="s">
        <v>35</v>
      </c>
      <c r="D25" s="3" t="s">
        <v>44</v>
      </c>
      <c r="E25" s="7" t="n">
        <v>0</v>
      </c>
      <c r="F25" s="7" t="s">
        <v>102</v>
      </c>
      <c r="G25" s="7"/>
      <c r="H25" s="8"/>
      <c r="I25" s="9" t="str">
        <f aca="false">IF(OR(E25="",H25=""),"",E25*H25)</f>
        <v/>
      </c>
      <c r="J25" s="10" t="s">
        <v>134</v>
      </c>
    </row>
    <row r="26" customFormat="false" ht="15" hidden="false" customHeight="false" outlineLevel="0" collapsed="false">
      <c r="A26" s="2" t="s">
        <v>4</v>
      </c>
      <c r="B26" s="2" t="s">
        <v>34</v>
      </c>
      <c r="C26" s="2" t="s">
        <v>35</v>
      </c>
      <c r="D26" s="3" t="s">
        <v>45</v>
      </c>
      <c r="E26" s="7" t="n">
        <v>4</v>
      </c>
      <c r="F26" s="7" t="s">
        <v>102</v>
      </c>
      <c r="G26" s="7"/>
      <c r="H26" s="8"/>
      <c r="I26" s="9" t="str">
        <f aca="false">IF(OR(E26="",H26=""),"",E26*H26)</f>
        <v/>
      </c>
      <c r="J26" s="10" t="s">
        <v>132</v>
      </c>
    </row>
    <row r="27" customFormat="false" ht="15" hidden="false" customHeight="false" outlineLevel="0" collapsed="false">
      <c r="A27" s="2" t="s">
        <v>4</v>
      </c>
      <c r="B27" s="2" t="s">
        <v>34</v>
      </c>
      <c r="C27" s="2" t="s">
        <v>35</v>
      </c>
      <c r="D27" s="3" t="s">
        <v>46</v>
      </c>
      <c r="E27" s="7" t="n">
        <v>5</v>
      </c>
      <c r="F27" s="7" t="s">
        <v>102</v>
      </c>
      <c r="G27" s="7"/>
      <c r="H27" s="8"/>
      <c r="I27" s="9" t="str">
        <f aca="false">IF(OR(E27="",H27=""),"",E27*H27)</f>
        <v/>
      </c>
      <c r="J27" s="10" t="s">
        <v>132</v>
      </c>
    </row>
    <row r="28" customFormat="false" ht="15" hidden="false" customHeight="false" outlineLevel="0" collapsed="false">
      <c r="A28" s="2" t="s">
        <v>4</v>
      </c>
      <c r="B28" s="2" t="s">
        <v>47</v>
      </c>
      <c r="C28" s="2" t="s">
        <v>35</v>
      </c>
      <c r="D28" s="3" t="s">
        <v>37</v>
      </c>
      <c r="E28" s="7" t="n">
        <v>1</v>
      </c>
      <c r="F28" s="7" t="s">
        <v>102</v>
      </c>
      <c r="G28" s="7"/>
      <c r="H28" s="8"/>
      <c r="I28" s="9" t="str">
        <f aca="false">IF(OR(E28="",H28=""),"",E28*H28)</f>
        <v/>
      </c>
      <c r="J28" s="10" t="s">
        <v>132</v>
      </c>
    </row>
    <row r="29" customFormat="false" ht="15" hidden="false" customHeight="false" outlineLevel="0" collapsed="false">
      <c r="A29" s="2" t="s">
        <v>4</v>
      </c>
      <c r="B29" s="2" t="s">
        <v>47</v>
      </c>
      <c r="C29" s="2" t="s">
        <v>35</v>
      </c>
      <c r="D29" s="3" t="s">
        <v>38</v>
      </c>
      <c r="E29" s="7" t="n">
        <v>1</v>
      </c>
      <c r="F29" s="7" t="s">
        <v>102</v>
      </c>
      <c r="G29" s="7"/>
      <c r="H29" s="8"/>
      <c r="I29" s="9" t="str">
        <f aca="false">IF(OR(E29="",H29=""),"",E29*H29)</f>
        <v/>
      </c>
      <c r="J29" s="10" t="s">
        <v>132</v>
      </c>
    </row>
    <row r="30" customFormat="false" ht="15" hidden="false" customHeight="false" outlineLevel="0" collapsed="false">
      <c r="A30" s="2" t="s">
        <v>4</v>
      </c>
      <c r="B30" s="2" t="s">
        <v>47</v>
      </c>
      <c r="C30" s="2" t="s">
        <v>35</v>
      </c>
      <c r="D30" s="3" t="s">
        <v>39</v>
      </c>
      <c r="E30" s="7" t="n">
        <v>3</v>
      </c>
      <c r="F30" s="7" t="s">
        <v>102</v>
      </c>
      <c r="G30" s="7"/>
      <c r="H30" s="8"/>
      <c r="I30" s="9" t="str">
        <f aca="false">IF(OR(E30="",H30=""),"",E30*H30)</f>
        <v/>
      </c>
      <c r="J30" s="10" t="s">
        <v>132</v>
      </c>
    </row>
    <row r="31" customFormat="false" ht="15" hidden="false" customHeight="false" outlineLevel="0" collapsed="false">
      <c r="A31" s="2" t="s">
        <v>4</v>
      </c>
      <c r="B31" s="2" t="s">
        <v>47</v>
      </c>
      <c r="C31" s="2" t="s">
        <v>35</v>
      </c>
      <c r="D31" s="3" t="s">
        <v>40</v>
      </c>
      <c r="E31" s="7" t="n">
        <v>5</v>
      </c>
      <c r="F31" s="7" t="s">
        <v>102</v>
      </c>
      <c r="G31" s="7"/>
      <c r="H31" s="8"/>
      <c r="I31" s="9" t="str">
        <f aca="false">IF(OR(E31="",H31=""),"",E31*H31)</f>
        <v/>
      </c>
      <c r="J31" s="10" t="s">
        <v>132</v>
      </c>
    </row>
    <row r="32" customFormat="false" ht="15" hidden="false" customHeight="false" outlineLevel="0" collapsed="false">
      <c r="A32" s="2" t="s">
        <v>4</v>
      </c>
      <c r="B32" s="2" t="s">
        <v>47</v>
      </c>
      <c r="C32" s="2" t="s">
        <v>35</v>
      </c>
      <c r="D32" s="3" t="s">
        <v>41</v>
      </c>
      <c r="E32" s="7" t="n">
        <v>3</v>
      </c>
      <c r="F32" s="7" t="s">
        <v>102</v>
      </c>
      <c r="G32" s="7"/>
      <c r="H32" s="8"/>
      <c r="I32" s="9" t="str">
        <f aca="false">IF(OR(E32="",H32=""),"",E32*H32)</f>
        <v/>
      </c>
      <c r="J32" s="10" t="s">
        <v>132</v>
      </c>
    </row>
    <row r="33" customFormat="false" ht="15" hidden="false" customHeight="false" outlineLevel="0" collapsed="false">
      <c r="A33" s="2" t="s">
        <v>4</v>
      </c>
      <c r="B33" s="2" t="s">
        <v>47</v>
      </c>
      <c r="C33" s="2" t="s">
        <v>35</v>
      </c>
      <c r="D33" s="3" t="s">
        <v>42</v>
      </c>
      <c r="E33" s="7" t="n">
        <v>7</v>
      </c>
      <c r="F33" s="7" t="s">
        <v>102</v>
      </c>
      <c r="G33" s="7"/>
      <c r="H33" s="8"/>
      <c r="I33" s="9" t="str">
        <f aca="false">IF(OR(E33="",H33=""),"",E33*H33)</f>
        <v/>
      </c>
      <c r="J33" s="10" t="s">
        <v>132</v>
      </c>
    </row>
    <row r="34" customFormat="false" ht="15" hidden="false" customHeight="false" outlineLevel="0" collapsed="false">
      <c r="A34" s="2" t="s">
        <v>4</v>
      </c>
      <c r="B34" s="2" t="s">
        <v>47</v>
      </c>
      <c r="C34" s="2" t="s">
        <v>35</v>
      </c>
      <c r="D34" s="3" t="s">
        <v>43</v>
      </c>
      <c r="E34" s="7" t="n">
        <v>3</v>
      </c>
      <c r="F34" s="7" t="s">
        <v>102</v>
      </c>
      <c r="G34" s="7"/>
      <c r="H34" s="8"/>
      <c r="I34" s="9" t="str">
        <f aca="false">IF(OR(E34="",H34=""),"",E34*H34)</f>
        <v/>
      </c>
      <c r="J34" s="10" t="s">
        <v>132</v>
      </c>
    </row>
    <row r="35" customFormat="false" ht="15" hidden="false" customHeight="false" outlineLevel="0" collapsed="false">
      <c r="A35" s="2" t="s">
        <v>4</v>
      </c>
      <c r="B35" s="2" t="s">
        <v>47</v>
      </c>
      <c r="C35" s="2" t="s">
        <v>35</v>
      </c>
      <c r="D35" s="3" t="s">
        <v>44</v>
      </c>
      <c r="E35" s="7" t="n">
        <v>7</v>
      </c>
      <c r="F35" s="7" t="s">
        <v>102</v>
      </c>
      <c r="G35" s="7"/>
      <c r="H35" s="8"/>
      <c r="I35" s="9" t="str">
        <f aca="false">IF(OR(E35="",H35=""),"",E35*H35)</f>
        <v/>
      </c>
      <c r="J35" s="10" t="s">
        <v>132</v>
      </c>
    </row>
    <row r="36" customFormat="false" ht="15" hidden="false" customHeight="false" outlineLevel="0" collapsed="false">
      <c r="A36" s="2" t="s">
        <v>4</v>
      </c>
      <c r="B36" s="2" t="s">
        <v>47</v>
      </c>
      <c r="C36" s="2" t="s">
        <v>35</v>
      </c>
      <c r="D36" s="3" t="s">
        <v>45</v>
      </c>
      <c r="E36" s="7" t="n">
        <v>4</v>
      </c>
      <c r="F36" s="7" t="s">
        <v>102</v>
      </c>
      <c r="G36" s="7"/>
      <c r="H36" s="8"/>
      <c r="I36" s="9" t="str">
        <f aca="false">IF(OR(E36="",H36=""),"",E36*H36)</f>
        <v/>
      </c>
      <c r="J36" s="10" t="s">
        <v>132</v>
      </c>
    </row>
    <row r="37" customFormat="false" ht="15" hidden="false" customHeight="false" outlineLevel="0" collapsed="false">
      <c r="A37" s="2" t="s">
        <v>4</v>
      </c>
      <c r="B37" s="2" t="s">
        <v>47</v>
      </c>
      <c r="C37" s="2" t="s">
        <v>35</v>
      </c>
      <c r="D37" s="3" t="s">
        <v>46</v>
      </c>
      <c r="E37" s="7" t="n">
        <v>6</v>
      </c>
      <c r="F37" s="7" t="s">
        <v>102</v>
      </c>
      <c r="G37" s="7"/>
      <c r="H37" s="8"/>
      <c r="I37" s="9" t="str">
        <f aca="false">IF(OR(E37="",H37=""),"",E37*H37)</f>
        <v/>
      </c>
      <c r="J37" s="10" t="s">
        <v>132</v>
      </c>
    </row>
    <row r="38" customFormat="false" ht="15" hidden="false" customHeight="false" outlineLevel="0" collapsed="false">
      <c r="A38" s="2" t="s">
        <v>4</v>
      </c>
      <c r="B38" s="2" t="s">
        <v>48</v>
      </c>
      <c r="C38" s="2" t="s">
        <v>35</v>
      </c>
      <c r="D38" s="3" t="s">
        <v>36</v>
      </c>
      <c r="E38" s="7" t="n">
        <v>1</v>
      </c>
      <c r="F38" s="7" t="s">
        <v>102</v>
      </c>
      <c r="G38" s="7"/>
      <c r="H38" s="8"/>
      <c r="I38" s="9" t="str">
        <f aca="false">IF(OR(E38="",H38=""),"",E38*H38)</f>
        <v/>
      </c>
      <c r="J38" s="10" t="s">
        <v>132</v>
      </c>
    </row>
    <row r="39" customFormat="false" ht="15" hidden="false" customHeight="false" outlineLevel="0" collapsed="false">
      <c r="A39" s="2" t="s">
        <v>4</v>
      </c>
      <c r="B39" s="2" t="s">
        <v>48</v>
      </c>
      <c r="C39" s="2" t="s">
        <v>35</v>
      </c>
      <c r="D39" s="3" t="s">
        <v>37</v>
      </c>
      <c r="E39" s="7" t="n">
        <v>2</v>
      </c>
      <c r="F39" s="7" t="s">
        <v>102</v>
      </c>
      <c r="G39" s="7"/>
      <c r="H39" s="8"/>
      <c r="I39" s="9" t="str">
        <f aca="false">IF(OR(E39="",H39=""),"",E39*H39)</f>
        <v/>
      </c>
      <c r="J39" s="10" t="s">
        <v>132</v>
      </c>
    </row>
    <row r="40" customFormat="false" ht="15" hidden="false" customHeight="false" outlineLevel="0" collapsed="false">
      <c r="A40" s="2" t="s">
        <v>4</v>
      </c>
      <c r="B40" s="2" t="s">
        <v>48</v>
      </c>
      <c r="C40" s="2" t="s">
        <v>35</v>
      </c>
      <c r="D40" s="3" t="s">
        <v>38</v>
      </c>
      <c r="E40" s="7" t="n">
        <v>1</v>
      </c>
      <c r="F40" s="7" t="s">
        <v>102</v>
      </c>
      <c r="G40" s="7"/>
      <c r="H40" s="8"/>
      <c r="I40" s="9" t="str">
        <f aca="false">IF(OR(E40="",H40=""),"",E40*H40)</f>
        <v/>
      </c>
      <c r="J40" s="10" t="s">
        <v>132</v>
      </c>
    </row>
    <row r="41" customFormat="false" ht="15" hidden="false" customHeight="false" outlineLevel="0" collapsed="false">
      <c r="A41" s="2" t="s">
        <v>4</v>
      </c>
      <c r="B41" s="2" t="s">
        <v>48</v>
      </c>
      <c r="C41" s="2" t="s">
        <v>35</v>
      </c>
      <c r="D41" s="3" t="s">
        <v>39</v>
      </c>
      <c r="E41" s="7" t="n">
        <v>3</v>
      </c>
      <c r="F41" s="7" t="s">
        <v>102</v>
      </c>
      <c r="G41" s="7"/>
      <c r="H41" s="8"/>
      <c r="I41" s="9" t="str">
        <f aca="false">IF(OR(E41="",H41=""),"",E41*H41)</f>
        <v/>
      </c>
      <c r="J41" s="10" t="s">
        <v>132</v>
      </c>
    </row>
    <row r="42" customFormat="false" ht="15" hidden="false" customHeight="false" outlineLevel="0" collapsed="false">
      <c r="A42" s="2" t="s">
        <v>4</v>
      </c>
      <c r="B42" s="2" t="s">
        <v>48</v>
      </c>
      <c r="C42" s="2" t="s">
        <v>35</v>
      </c>
      <c r="D42" s="3" t="s">
        <v>40</v>
      </c>
      <c r="E42" s="7" t="n">
        <v>4</v>
      </c>
      <c r="F42" s="7" t="s">
        <v>102</v>
      </c>
      <c r="G42" s="7"/>
      <c r="H42" s="8"/>
      <c r="I42" s="9" t="str">
        <f aca="false">IF(OR(E42="",H42=""),"",E42*H42)</f>
        <v/>
      </c>
      <c r="J42" s="10" t="s">
        <v>132</v>
      </c>
    </row>
    <row r="43" customFormat="false" ht="15" hidden="false" customHeight="false" outlineLevel="0" collapsed="false">
      <c r="A43" s="2" t="s">
        <v>4</v>
      </c>
      <c r="B43" s="2" t="s">
        <v>48</v>
      </c>
      <c r="C43" s="2" t="s">
        <v>35</v>
      </c>
      <c r="D43" s="3" t="s">
        <v>41</v>
      </c>
      <c r="E43" s="7" t="n">
        <v>4</v>
      </c>
      <c r="F43" s="7" t="s">
        <v>102</v>
      </c>
      <c r="G43" s="7"/>
      <c r="H43" s="8"/>
      <c r="I43" s="9" t="str">
        <f aca="false">IF(OR(E43="",H43=""),"",E43*H43)</f>
        <v/>
      </c>
      <c r="J43" s="10" t="s">
        <v>132</v>
      </c>
    </row>
    <row r="44" customFormat="false" ht="15" hidden="false" customHeight="false" outlineLevel="0" collapsed="false">
      <c r="A44" s="2" t="s">
        <v>4</v>
      </c>
      <c r="B44" s="2" t="s">
        <v>48</v>
      </c>
      <c r="C44" s="2" t="s">
        <v>35</v>
      </c>
      <c r="D44" s="3" t="s">
        <v>42</v>
      </c>
      <c r="E44" s="7" t="n">
        <v>3</v>
      </c>
      <c r="F44" s="7" t="s">
        <v>102</v>
      </c>
      <c r="G44" s="7"/>
      <c r="H44" s="8"/>
      <c r="I44" s="9" t="str">
        <f aca="false">IF(OR(E44="",H44=""),"",E44*H44)</f>
        <v/>
      </c>
      <c r="J44" s="10" t="s">
        <v>132</v>
      </c>
    </row>
    <row r="45" customFormat="false" ht="15" hidden="false" customHeight="false" outlineLevel="0" collapsed="false">
      <c r="A45" s="2" t="s">
        <v>4</v>
      </c>
      <c r="B45" s="2" t="s">
        <v>48</v>
      </c>
      <c r="C45" s="2" t="s">
        <v>35</v>
      </c>
      <c r="D45" s="3" t="s">
        <v>43</v>
      </c>
      <c r="E45" s="7" t="n">
        <v>4</v>
      </c>
      <c r="F45" s="7" t="s">
        <v>102</v>
      </c>
      <c r="G45" s="7"/>
      <c r="H45" s="8"/>
      <c r="I45" s="9" t="str">
        <f aca="false">IF(OR(E45="",H45=""),"",E45*H45)</f>
        <v/>
      </c>
      <c r="J45" s="10" t="s">
        <v>132</v>
      </c>
    </row>
    <row r="46" customFormat="false" ht="15" hidden="false" customHeight="false" outlineLevel="0" collapsed="false">
      <c r="A46" s="2" t="s">
        <v>4</v>
      </c>
      <c r="B46" s="2" t="s">
        <v>48</v>
      </c>
      <c r="C46" s="2" t="s">
        <v>35</v>
      </c>
      <c r="D46" s="3" t="s">
        <v>44</v>
      </c>
      <c r="E46" s="7" t="n">
        <v>3</v>
      </c>
      <c r="F46" s="7" t="s">
        <v>102</v>
      </c>
      <c r="G46" s="7"/>
      <c r="H46" s="8"/>
      <c r="I46" s="9" t="str">
        <f aca="false">IF(OR(E46="",H46=""),"",E46*H46)</f>
        <v/>
      </c>
      <c r="J46" s="10" t="s">
        <v>132</v>
      </c>
    </row>
    <row r="47" customFormat="false" ht="15" hidden="false" customHeight="false" outlineLevel="0" collapsed="false">
      <c r="A47" s="2" t="s">
        <v>4</v>
      </c>
      <c r="B47" s="2" t="s">
        <v>48</v>
      </c>
      <c r="C47" s="2" t="s">
        <v>35</v>
      </c>
      <c r="D47" s="3" t="s">
        <v>45</v>
      </c>
      <c r="E47" s="7" t="n">
        <v>4</v>
      </c>
      <c r="F47" s="7" t="s">
        <v>102</v>
      </c>
      <c r="G47" s="7"/>
      <c r="H47" s="8"/>
      <c r="I47" s="9" t="str">
        <f aca="false">IF(OR(E47="",H47=""),"",E47*H47)</f>
        <v/>
      </c>
      <c r="J47" s="10" t="s">
        <v>132</v>
      </c>
    </row>
    <row r="48" customFormat="false" ht="15" hidden="false" customHeight="false" outlineLevel="0" collapsed="false">
      <c r="A48" s="2" t="s">
        <v>4</v>
      </c>
      <c r="B48" s="2" t="s">
        <v>48</v>
      </c>
      <c r="C48" s="2" t="s">
        <v>35</v>
      </c>
      <c r="D48" s="3" t="s">
        <v>46</v>
      </c>
      <c r="E48" s="7" t="n">
        <v>11</v>
      </c>
      <c r="F48" s="7" t="s">
        <v>102</v>
      </c>
      <c r="G48" s="7"/>
      <c r="H48" s="8"/>
      <c r="I48" s="9" t="str">
        <f aca="false">IF(OR(E48="",H48=""),"",E48*H48)</f>
        <v/>
      </c>
      <c r="J48" s="10" t="s">
        <v>132</v>
      </c>
    </row>
    <row r="49" customFormat="false" ht="15" hidden="false" customHeight="false" outlineLevel="0" collapsed="false">
      <c r="A49" s="2" t="s">
        <v>4</v>
      </c>
      <c r="B49" s="2" t="s">
        <v>62</v>
      </c>
      <c r="C49" s="2" t="s">
        <v>56</v>
      </c>
      <c r="D49" s="3" t="s">
        <v>63</v>
      </c>
      <c r="E49" s="7" t="n">
        <v>4</v>
      </c>
      <c r="F49" s="7" t="s">
        <v>102</v>
      </c>
      <c r="G49" s="7"/>
      <c r="H49" s="8"/>
      <c r="I49" s="9" t="str">
        <f aca="false">IF(OR(E49="",H49=""),"",E49*H49)</f>
        <v/>
      </c>
      <c r="J49" s="10" t="s">
        <v>132</v>
      </c>
    </row>
    <row r="50" customFormat="false" ht="15" hidden="false" customHeight="false" outlineLevel="0" collapsed="false">
      <c r="A50" s="2" t="s">
        <v>4</v>
      </c>
      <c r="B50" s="2" t="s">
        <v>62</v>
      </c>
      <c r="C50" s="2" t="s">
        <v>56</v>
      </c>
      <c r="D50" s="3" t="s">
        <v>64</v>
      </c>
      <c r="E50" s="7" t="n">
        <v>3</v>
      </c>
      <c r="F50" s="7" t="s">
        <v>102</v>
      </c>
      <c r="G50" s="7"/>
      <c r="H50" s="8"/>
      <c r="I50" s="9" t="str">
        <f aca="false">IF(OR(E50="",H50=""),"",E50*H50)</f>
        <v/>
      </c>
      <c r="J50" s="10" t="s">
        <v>132</v>
      </c>
    </row>
    <row r="51" customFormat="false" ht="15" hidden="false" customHeight="false" outlineLevel="0" collapsed="false">
      <c r="A51" s="2" t="s">
        <v>4</v>
      </c>
      <c r="B51" s="2" t="s">
        <v>62</v>
      </c>
      <c r="C51" s="2" t="s">
        <v>56</v>
      </c>
      <c r="D51" s="3" t="s">
        <v>65</v>
      </c>
      <c r="E51" s="7" t="n">
        <v>9</v>
      </c>
      <c r="F51" s="7" t="s">
        <v>102</v>
      </c>
      <c r="G51" s="7"/>
      <c r="H51" s="8"/>
      <c r="I51" s="9" t="str">
        <f aca="false">IF(OR(E51="",H51=""),"",E51*H51)</f>
        <v/>
      </c>
      <c r="J51" s="10" t="s">
        <v>132</v>
      </c>
    </row>
    <row r="52" customFormat="false" ht="15" hidden="false" customHeight="false" outlineLevel="0" collapsed="false">
      <c r="A52" s="2" t="s">
        <v>4</v>
      </c>
      <c r="B52" s="2" t="s">
        <v>62</v>
      </c>
      <c r="C52" s="2" t="s">
        <v>56</v>
      </c>
      <c r="D52" s="3" t="s">
        <v>66</v>
      </c>
      <c r="E52" s="7" t="n">
        <v>7</v>
      </c>
      <c r="F52" s="7" t="s">
        <v>102</v>
      </c>
      <c r="G52" s="7"/>
      <c r="H52" s="8"/>
      <c r="I52" s="9" t="str">
        <f aca="false">IF(OR(E52="",H52=""),"",E52*H52)</f>
        <v/>
      </c>
      <c r="J52" s="10" t="s">
        <v>132</v>
      </c>
    </row>
    <row r="53" customFormat="false" ht="15" hidden="false" customHeight="false" outlineLevel="0" collapsed="false">
      <c r="A53" s="2" t="s">
        <v>4</v>
      </c>
      <c r="B53" s="2" t="s">
        <v>67</v>
      </c>
      <c r="C53" s="2" t="s">
        <v>56</v>
      </c>
      <c r="D53" s="3" t="s">
        <v>27</v>
      </c>
      <c r="E53" s="7" t="n">
        <v>9</v>
      </c>
      <c r="F53" s="7" t="s">
        <v>102</v>
      </c>
      <c r="G53" s="7"/>
      <c r="H53" s="8"/>
      <c r="I53" s="9" t="str">
        <f aca="false">IF(OR(E53="",H53=""),"",E53*H53)</f>
        <v/>
      </c>
      <c r="J53" s="10" t="s">
        <v>132</v>
      </c>
    </row>
    <row r="54" customFormat="false" ht="15" hidden="false" customHeight="false" outlineLevel="0" collapsed="false">
      <c r="A54" s="2" t="s">
        <v>4</v>
      </c>
      <c r="B54" s="2" t="s">
        <v>68</v>
      </c>
      <c r="C54" s="2" t="s">
        <v>56</v>
      </c>
      <c r="D54" s="3" t="s">
        <v>17</v>
      </c>
      <c r="E54" s="7" t="n">
        <v>6</v>
      </c>
      <c r="F54" s="7" t="s">
        <v>102</v>
      </c>
      <c r="G54" s="7"/>
      <c r="H54" s="8"/>
      <c r="I54" s="9" t="str">
        <f aca="false">IF(OR(E54="",H54=""),"",E54*H54)</f>
        <v/>
      </c>
      <c r="J54" s="10" t="s">
        <v>136</v>
      </c>
    </row>
    <row r="55" customFormat="false" ht="15" hidden="false" customHeight="false" outlineLevel="0" collapsed="false">
      <c r="A55" s="2" t="s">
        <v>4</v>
      </c>
      <c r="B55" s="2" t="s">
        <v>68</v>
      </c>
      <c r="C55" s="2" t="s">
        <v>56</v>
      </c>
      <c r="D55" s="3" t="s">
        <v>13</v>
      </c>
      <c r="E55" s="7" t="n">
        <v>1</v>
      </c>
      <c r="F55" s="7" t="s">
        <v>102</v>
      </c>
      <c r="G55" s="7"/>
      <c r="H55" s="8"/>
      <c r="I55" s="9" t="str">
        <f aca="false">IF(OR(E55="",H55=""),"",E55*H55)</f>
        <v/>
      </c>
      <c r="J55" s="10" t="s">
        <v>136</v>
      </c>
    </row>
    <row r="56" customFormat="false" ht="15" hidden="false" customHeight="false" outlineLevel="0" collapsed="false">
      <c r="A56" s="2" t="s">
        <v>4</v>
      </c>
      <c r="B56" s="2" t="s">
        <v>69</v>
      </c>
      <c r="C56" s="2" t="s">
        <v>56</v>
      </c>
      <c r="D56" s="3" t="s">
        <v>16</v>
      </c>
      <c r="E56" s="7" t="n">
        <v>3</v>
      </c>
      <c r="F56" s="7" t="s">
        <v>102</v>
      </c>
      <c r="G56" s="7"/>
      <c r="H56" s="8"/>
      <c r="I56" s="9" t="str">
        <f aca="false">IF(OR(E56="",H56=""),"",E56*H56)</f>
        <v/>
      </c>
      <c r="J56" s="10" t="s">
        <v>136</v>
      </c>
    </row>
    <row r="57" customFormat="false" ht="15" hidden="false" customHeight="false" outlineLevel="0" collapsed="false">
      <c r="A57" s="2" t="s">
        <v>4</v>
      </c>
      <c r="B57" s="2" t="s">
        <v>69</v>
      </c>
      <c r="C57" s="2" t="s">
        <v>56</v>
      </c>
      <c r="D57" s="3" t="s">
        <v>17</v>
      </c>
      <c r="E57" s="7" t="n">
        <v>1</v>
      </c>
      <c r="F57" s="7" t="s">
        <v>102</v>
      </c>
      <c r="G57" s="7"/>
      <c r="H57" s="8"/>
      <c r="I57" s="9" t="str">
        <f aca="false">IF(OR(E57="",H57=""),"",E57*H57)</f>
        <v/>
      </c>
      <c r="J57" s="10" t="s">
        <v>136</v>
      </c>
    </row>
    <row r="58" customFormat="false" ht="15" hidden="false" customHeight="false" outlineLevel="0" collapsed="false">
      <c r="A58" s="2" t="s">
        <v>4</v>
      </c>
      <c r="B58" s="2" t="s">
        <v>70</v>
      </c>
      <c r="C58" s="2" t="s">
        <v>56</v>
      </c>
      <c r="D58" s="3" t="s">
        <v>16</v>
      </c>
      <c r="E58" s="7" t="n">
        <v>1</v>
      </c>
      <c r="F58" s="7" t="s">
        <v>102</v>
      </c>
      <c r="G58" s="7"/>
      <c r="H58" s="8"/>
      <c r="I58" s="9" t="str">
        <f aca="false">IF(OR(E58="",H58=""),"",E58*H58)</f>
        <v/>
      </c>
      <c r="J58" s="10" t="s">
        <v>136</v>
      </c>
    </row>
    <row r="59" customFormat="false" ht="15" hidden="false" customHeight="false" outlineLevel="0" collapsed="false">
      <c r="A59" s="2" t="s">
        <v>4</v>
      </c>
      <c r="B59" s="2" t="s">
        <v>70</v>
      </c>
      <c r="C59" s="2" t="s">
        <v>56</v>
      </c>
      <c r="D59" s="3" t="s">
        <v>13</v>
      </c>
      <c r="E59" s="7" t="n">
        <v>1</v>
      </c>
      <c r="F59" s="7" t="s">
        <v>102</v>
      </c>
      <c r="G59" s="7"/>
      <c r="H59" s="8"/>
      <c r="I59" s="9" t="str">
        <f aca="false">IF(OR(E59="",H59=""),"",E59*H59)</f>
        <v/>
      </c>
      <c r="J59" s="10" t="s">
        <v>136</v>
      </c>
    </row>
    <row r="60" customFormat="false" ht="15" hidden="false" customHeight="false" outlineLevel="0" collapsed="false">
      <c r="A60" s="2" t="s">
        <v>4</v>
      </c>
      <c r="B60" s="2" t="s">
        <v>70</v>
      </c>
      <c r="C60" s="2" t="s">
        <v>56</v>
      </c>
      <c r="D60" s="3" t="s">
        <v>14</v>
      </c>
      <c r="E60" s="7" t="n">
        <v>1</v>
      </c>
      <c r="F60" s="7" t="s">
        <v>102</v>
      </c>
      <c r="G60" s="7"/>
      <c r="H60" s="8"/>
      <c r="I60" s="9" t="str">
        <f aca="false">IF(OR(E60="",H60=""),"",E60*H60)</f>
        <v/>
      </c>
      <c r="J60" s="10" t="s">
        <v>136</v>
      </c>
    </row>
    <row r="61" customFormat="false" ht="15" hidden="false" customHeight="false" outlineLevel="0" collapsed="false">
      <c r="A61" s="2" t="s">
        <v>4</v>
      </c>
      <c r="B61" s="2" t="s">
        <v>71</v>
      </c>
      <c r="C61" s="2" t="s">
        <v>56</v>
      </c>
      <c r="D61" s="3" t="s">
        <v>17</v>
      </c>
      <c r="E61" s="7" t="n">
        <v>1</v>
      </c>
      <c r="F61" s="7" t="s">
        <v>102</v>
      </c>
      <c r="G61" s="7"/>
      <c r="H61" s="8"/>
      <c r="I61" s="9" t="str">
        <f aca="false">IF(OR(E61="",H61=""),"",E61*H61)</f>
        <v/>
      </c>
      <c r="J61" s="10" t="s">
        <v>136</v>
      </c>
    </row>
    <row r="62" customFormat="false" ht="15" hidden="false" customHeight="false" outlineLevel="0" collapsed="false">
      <c r="A62" s="2" t="s">
        <v>4</v>
      </c>
      <c r="B62" s="2" t="s">
        <v>71</v>
      </c>
      <c r="C62" s="2" t="s">
        <v>56</v>
      </c>
      <c r="D62" s="3" t="s">
        <v>13</v>
      </c>
      <c r="E62" s="7" t="n">
        <v>3</v>
      </c>
      <c r="F62" s="7" t="s">
        <v>102</v>
      </c>
      <c r="G62" s="7"/>
      <c r="H62" s="8"/>
      <c r="I62" s="9" t="str">
        <f aca="false">IF(OR(E62="",H62=""),"",E62*H62)</f>
        <v/>
      </c>
      <c r="J62" s="10" t="s">
        <v>136</v>
      </c>
    </row>
    <row r="63" customFormat="false" ht="15" hidden="false" customHeight="false" outlineLevel="0" collapsed="false">
      <c r="A63" s="2" t="s">
        <v>4</v>
      </c>
      <c r="B63" s="2" t="s">
        <v>71</v>
      </c>
      <c r="C63" s="2" t="s">
        <v>56</v>
      </c>
      <c r="D63" s="3" t="s">
        <v>14</v>
      </c>
      <c r="E63" s="7" t="n">
        <v>1</v>
      </c>
      <c r="F63" s="7" t="s">
        <v>102</v>
      </c>
      <c r="G63" s="7"/>
      <c r="H63" s="8"/>
      <c r="I63" s="9" t="str">
        <f aca="false">IF(OR(E63="",H63=""),"",E63*H63)</f>
        <v/>
      </c>
      <c r="J63" s="10" t="s">
        <v>136</v>
      </c>
    </row>
    <row r="64" customFormat="false" ht="23.85" hidden="false" customHeight="false" outlineLevel="0" collapsed="false">
      <c r="A64" s="2" t="s">
        <v>4</v>
      </c>
      <c r="B64" s="2" t="s">
        <v>15</v>
      </c>
      <c r="C64" s="2" t="s">
        <v>7</v>
      </c>
      <c r="D64" s="3" t="s">
        <v>16</v>
      </c>
      <c r="E64" s="7" t="n">
        <f aca="false">1-2</f>
        <v>-1</v>
      </c>
      <c r="F64" s="7" t="s">
        <v>105</v>
      </c>
      <c r="G64" s="7"/>
      <c r="H64" s="8"/>
      <c r="I64" s="9" t="str">
        <f aca="false">IF(OR(E64="",H64=""),"",E64*H64)</f>
        <v/>
      </c>
      <c r="J64" s="10" t="s">
        <v>137</v>
      </c>
    </row>
    <row r="65" customFormat="false" ht="23.85" hidden="false" customHeight="false" outlineLevel="0" collapsed="false">
      <c r="A65" s="2" t="s">
        <v>4</v>
      </c>
      <c r="B65" s="2" t="s">
        <v>15</v>
      </c>
      <c r="C65" s="2" t="s">
        <v>7</v>
      </c>
      <c r="D65" s="3" t="s">
        <v>17</v>
      </c>
      <c r="E65" s="7" t="n">
        <f aca="false">2-2</f>
        <v>0</v>
      </c>
      <c r="F65" s="7" t="s">
        <v>105</v>
      </c>
      <c r="G65" s="7"/>
      <c r="H65" s="8"/>
      <c r="I65" s="9" t="str">
        <f aca="false">IF(OR(E65="",H65=""),"",E65*H65)</f>
        <v/>
      </c>
      <c r="J65" s="10" t="s">
        <v>138</v>
      </c>
    </row>
    <row r="66" customFormat="false" ht="23.85" hidden="false" customHeight="false" outlineLevel="0" collapsed="false">
      <c r="A66" s="2" t="s">
        <v>4</v>
      </c>
      <c r="B66" s="2" t="s">
        <v>15</v>
      </c>
      <c r="C66" s="2" t="s">
        <v>7</v>
      </c>
      <c r="D66" s="3" t="s">
        <v>13</v>
      </c>
      <c r="E66" s="7" t="n">
        <f aca="false">1-2</f>
        <v>-1</v>
      </c>
      <c r="F66" s="7" t="s">
        <v>105</v>
      </c>
      <c r="G66" s="7"/>
      <c r="H66" s="8"/>
      <c r="I66" s="9" t="str">
        <f aca="false">IF(OR(E66="",H66=""),"",E66*H66)</f>
        <v/>
      </c>
      <c r="J66" s="10" t="s">
        <v>137</v>
      </c>
    </row>
    <row r="67" customFormat="false" ht="23.85" hidden="false" customHeight="false" outlineLevel="0" collapsed="false">
      <c r="A67" s="2" t="s">
        <v>4</v>
      </c>
      <c r="B67" s="2" t="s">
        <v>15</v>
      </c>
      <c r="C67" s="2" t="s">
        <v>7</v>
      </c>
      <c r="D67" s="3" t="s">
        <v>14</v>
      </c>
      <c r="E67" s="7" t="n">
        <f aca="false">1-1</f>
        <v>0</v>
      </c>
      <c r="F67" s="7" t="s">
        <v>105</v>
      </c>
      <c r="G67" s="7"/>
      <c r="H67" s="8"/>
      <c r="I67" s="9" t="str">
        <f aca="false">IF(OR(E67="",H67=""),"",E67*H67)</f>
        <v/>
      </c>
      <c r="J67" s="10" t="s">
        <v>139</v>
      </c>
    </row>
    <row r="68" customFormat="false" ht="23.85" hidden="false" customHeight="false" outlineLevel="0" collapsed="false">
      <c r="A68" s="2" t="s">
        <v>4</v>
      </c>
      <c r="B68" s="2" t="s">
        <v>15</v>
      </c>
      <c r="C68" s="2" t="s">
        <v>7</v>
      </c>
      <c r="D68" s="3" t="s">
        <v>9</v>
      </c>
      <c r="E68" s="7" t="n">
        <f aca="false">2-2</f>
        <v>0</v>
      </c>
      <c r="F68" s="7" t="s">
        <v>105</v>
      </c>
      <c r="G68" s="7"/>
      <c r="H68" s="8"/>
      <c r="I68" s="9" t="str">
        <f aca="false">IF(OR(E68="",H68=""),"",E68*H68)</f>
        <v/>
      </c>
      <c r="J68" s="10" t="s">
        <v>138</v>
      </c>
    </row>
    <row r="69" customFormat="false" ht="23.85" hidden="false" customHeight="false" outlineLevel="0" collapsed="false">
      <c r="A69" s="2" t="s">
        <v>4</v>
      </c>
      <c r="B69" s="2" t="s">
        <v>18</v>
      </c>
      <c r="C69" s="2" t="s">
        <v>7</v>
      </c>
      <c r="D69" s="3" t="s">
        <v>19</v>
      </c>
      <c r="E69" s="7" t="n">
        <f aca="false">1-1</f>
        <v>0</v>
      </c>
      <c r="F69" s="7" t="s">
        <v>105</v>
      </c>
      <c r="G69" s="7"/>
      <c r="H69" s="8"/>
      <c r="I69" s="9" t="str">
        <f aca="false">IF(OR(E69="",H69=""),"",E69*H69)</f>
        <v/>
      </c>
      <c r="J69" s="10" t="s">
        <v>139</v>
      </c>
    </row>
    <row r="70" customFormat="false" ht="23.85" hidden="false" customHeight="false" outlineLevel="0" collapsed="false">
      <c r="A70" s="2" t="s">
        <v>4</v>
      </c>
      <c r="B70" s="2" t="s">
        <v>18</v>
      </c>
      <c r="C70" s="2" t="s">
        <v>7</v>
      </c>
      <c r="D70" s="3" t="s">
        <v>20</v>
      </c>
      <c r="E70" s="7" t="n">
        <f aca="false">2-2</f>
        <v>0</v>
      </c>
      <c r="F70" s="7" t="s">
        <v>105</v>
      </c>
      <c r="G70" s="7"/>
      <c r="H70" s="8"/>
      <c r="I70" s="9" t="str">
        <f aca="false">IF(OR(E70="",H70=""),"",E70*H70)</f>
        <v/>
      </c>
      <c r="J70" s="10" t="s">
        <v>138</v>
      </c>
    </row>
    <row r="71" customFormat="false" ht="23.85" hidden="false" customHeight="false" outlineLevel="0" collapsed="false">
      <c r="A71" s="2" t="s">
        <v>4</v>
      </c>
      <c r="B71" s="2" t="s">
        <v>18</v>
      </c>
      <c r="C71" s="2" t="s">
        <v>7</v>
      </c>
      <c r="D71" s="3" t="s">
        <v>21</v>
      </c>
      <c r="E71" s="7" t="n">
        <f aca="false">3-2</f>
        <v>1</v>
      </c>
      <c r="F71" s="7" t="s">
        <v>105</v>
      </c>
      <c r="G71" s="7"/>
      <c r="H71" s="8"/>
      <c r="I71" s="9" t="str">
        <f aca="false">IF(OR(E71="",H71=""),"",E71*H71)</f>
        <v/>
      </c>
      <c r="J71" s="10" t="s">
        <v>140</v>
      </c>
    </row>
    <row r="72" customFormat="false" ht="23.85" hidden="false" customHeight="false" outlineLevel="0" collapsed="false">
      <c r="A72" s="2" t="s">
        <v>4</v>
      </c>
      <c r="B72" s="2" t="s">
        <v>18</v>
      </c>
      <c r="C72" s="2" t="s">
        <v>7</v>
      </c>
      <c r="D72" s="3" t="s">
        <v>22</v>
      </c>
      <c r="E72" s="7" t="n">
        <f aca="false">1-2</f>
        <v>-1</v>
      </c>
      <c r="F72" s="7" t="s">
        <v>105</v>
      </c>
      <c r="G72" s="7"/>
      <c r="H72" s="8"/>
      <c r="I72" s="9" t="str">
        <f aca="false">IF(OR(E72="",H72=""),"",E72*H72)</f>
        <v/>
      </c>
      <c r="J72" s="10" t="s">
        <v>137</v>
      </c>
    </row>
    <row r="73" customFormat="false" ht="15" hidden="false" customHeight="false" outlineLevel="0" collapsed="false">
      <c r="A73" s="2" t="s">
        <v>4</v>
      </c>
      <c r="B73" s="2" t="s">
        <v>18</v>
      </c>
      <c r="C73" s="2" t="s">
        <v>7</v>
      </c>
      <c r="D73" s="3" t="s">
        <v>23</v>
      </c>
      <c r="E73" s="7" t="n">
        <v>3</v>
      </c>
      <c r="F73" s="7" t="s">
        <v>105</v>
      </c>
      <c r="G73" s="7"/>
      <c r="H73" s="8"/>
      <c r="I73" s="9" t="str">
        <f aca="false">IF(OR(E73="",H73=""),"",E73*H73)</f>
        <v/>
      </c>
      <c r="J73" s="10" t="s">
        <v>141</v>
      </c>
    </row>
    <row r="74" customFormat="false" ht="15" hidden="false" customHeight="false" outlineLevel="0" collapsed="false">
      <c r="A74" s="2" t="s">
        <v>4</v>
      </c>
      <c r="B74" s="2" t="s">
        <v>18</v>
      </c>
      <c r="C74" s="2" t="s">
        <v>7</v>
      </c>
      <c r="D74" s="3" t="s">
        <v>24</v>
      </c>
      <c r="E74" s="7" t="n">
        <v>2</v>
      </c>
      <c r="F74" s="7" t="s">
        <v>105</v>
      </c>
      <c r="G74" s="7"/>
      <c r="H74" s="8"/>
      <c r="I74" s="9" t="str">
        <f aca="false">IF(OR(E74="",H74=""),"",E74*H74)</f>
        <v/>
      </c>
      <c r="J74" s="10" t="s">
        <v>141</v>
      </c>
    </row>
    <row r="75" customFormat="false" ht="15" hidden="false" customHeight="false" outlineLevel="0" collapsed="false">
      <c r="A75" s="2" t="s">
        <v>4</v>
      </c>
      <c r="B75" s="2" t="s">
        <v>25</v>
      </c>
      <c r="C75" s="2" t="s">
        <v>7</v>
      </c>
      <c r="D75" s="3" t="s">
        <v>21</v>
      </c>
      <c r="E75" s="7" t="n">
        <v>3</v>
      </c>
      <c r="F75" s="7" t="s">
        <v>105</v>
      </c>
      <c r="G75" s="7"/>
      <c r="H75" s="8"/>
      <c r="I75" s="9" t="str">
        <f aca="false">IF(OR(E75="",H75=""),"",E75*H75)</f>
        <v/>
      </c>
      <c r="J75" s="10" t="s">
        <v>141</v>
      </c>
    </row>
    <row r="76" customFormat="false" ht="15" hidden="false" customHeight="false" outlineLevel="0" collapsed="false">
      <c r="A76" s="2" t="s">
        <v>4</v>
      </c>
      <c r="B76" s="2" t="s">
        <v>89</v>
      </c>
      <c r="C76" s="2" t="s">
        <v>90</v>
      </c>
      <c r="D76" s="3" t="s">
        <v>27</v>
      </c>
      <c r="E76" s="7" t="n">
        <v>25</v>
      </c>
      <c r="F76" s="7" t="s">
        <v>102</v>
      </c>
      <c r="G76" s="7"/>
      <c r="H76" s="8"/>
      <c r="I76" s="9" t="str">
        <f aca="false">IF(OR(E76="",H76=""),"",E76*H76)</f>
        <v/>
      </c>
      <c r="J76" s="10" t="s">
        <v>141</v>
      </c>
    </row>
    <row r="77" customFormat="false" ht="15" hidden="false" customHeight="false" outlineLevel="0" collapsed="false">
      <c r="A77" s="2" t="s">
        <v>4</v>
      </c>
      <c r="B77" s="2" t="s">
        <v>91</v>
      </c>
      <c r="C77" s="2" t="s">
        <v>90</v>
      </c>
      <c r="D77" s="3" t="s">
        <v>27</v>
      </c>
      <c r="E77" s="11" t="n">
        <v>26</v>
      </c>
      <c r="F77" s="7" t="s">
        <v>102</v>
      </c>
      <c r="G77" s="7"/>
      <c r="H77" s="8"/>
      <c r="I77" s="9" t="str">
        <f aca="false">IF(OR(E77="",H77=""),"",E77*H77)</f>
        <v/>
      </c>
      <c r="J77" s="10" t="s">
        <v>142</v>
      </c>
    </row>
    <row r="78" customFormat="false" ht="15" hidden="false" customHeight="false" outlineLevel="0" collapsed="false">
      <c r="A78" s="12"/>
      <c r="B78" s="12"/>
      <c r="C78" s="12"/>
      <c r="D78" s="13"/>
      <c r="E78" s="12"/>
      <c r="F78" s="12"/>
      <c r="G78" s="12"/>
      <c r="H78" s="14"/>
      <c r="I78" s="15" t="str">
        <f aca="false">IF(OR(E78="",H78=""),"",E78*H78)</f>
        <v/>
      </c>
      <c r="J78" s="12"/>
    </row>
    <row r="79" customFormat="false" ht="15" hidden="false" customHeight="false" outlineLevel="0" collapsed="false">
      <c r="A79" s="12"/>
      <c r="B79" s="12"/>
      <c r="C79" s="12"/>
      <c r="D79" s="13"/>
      <c r="E79" s="12"/>
      <c r="F79" s="12"/>
      <c r="G79" s="12"/>
      <c r="H79" s="14"/>
      <c r="I79" s="15" t="str">
        <f aca="false">IF(OR(E79="",H79=""),"",E79*H79)</f>
        <v/>
      </c>
      <c r="J79" s="12"/>
    </row>
    <row r="80" customFormat="false" ht="15" hidden="false" customHeight="false" outlineLevel="0" collapsed="false">
      <c r="A80" s="12"/>
      <c r="B80" s="12"/>
      <c r="C80" s="12"/>
      <c r="D80" s="13"/>
      <c r="E80" s="12"/>
      <c r="F80" s="12"/>
      <c r="G80" s="12"/>
      <c r="H80" s="14"/>
      <c r="I80" s="15" t="str">
        <f aca="false">IF(OR(E80="",H80=""),"",E80*H80)</f>
        <v/>
      </c>
      <c r="J80" s="12"/>
    </row>
    <row r="81" customFormat="false" ht="15" hidden="false" customHeight="false" outlineLevel="0" collapsed="false">
      <c r="A81" s="12"/>
      <c r="B81" s="12"/>
      <c r="C81" s="12"/>
      <c r="D81" s="13"/>
      <c r="E81" s="12"/>
      <c r="F81" s="12"/>
      <c r="G81" s="12"/>
      <c r="H81" s="14"/>
      <c r="I81" s="15" t="str">
        <f aca="false">IF(OR(E81="",H81=""),"",E81*H81)</f>
        <v/>
      </c>
      <c r="J81" s="12"/>
    </row>
    <row r="82" customFormat="false" ht="15" hidden="false" customHeight="false" outlineLevel="0" collapsed="false">
      <c r="A82" s="12"/>
      <c r="B82" s="12"/>
      <c r="C82" s="12"/>
      <c r="D82" s="13"/>
      <c r="E82" s="12"/>
      <c r="F82" s="12"/>
      <c r="G82" s="12"/>
      <c r="H82" s="14"/>
      <c r="I82" s="15" t="str">
        <f aca="false">IF(OR(E82="",H82=""),"",E82*H82)</f>
        <v/>
      </c>
      <c r="J82" s="12"/>
    </row>
    <row r="83" customFormat="false" ht="15" hidden="false" customHeight="false" outlineLevel="0" collapsed="false">
      <c r="A83" s="12"/>
      <c r="B83" s="12"/>
      <c r="C83" s="12"/>
      <c r="D83" s="13"/>
      <c r="E83" s="12"/>
      <c r="F83" s="12"/>
      <c r="G83" s="12"/>
      <c r="H83" s="14"/>
      <c r="I83" s="15" t="str">
        <f aca="false">IF(OR(E83="",H83=""),"",E83*H83)</f>
        <v/>
      </c>
      <c r="J83" s="12"/>
    </row>
    <row r="84" customFormat="false" ht="15" hidden="false" customHeight="false" outlineLevel="0" collapsed="false">
      <c r="A84" s="12"/>
      <c r="B84" s="12"/>
      <c r="C84" s="12"/>
      <c r="D84" s="13"/>
      <c r="E84" s="12"/>
      <c r="F84" s="12"/>
      <c r="G84" s="12"/>
      <c r="H84" s="14"/>
      <c r="I84" s="15" t="str">
        <f aca="false">IF(OR(E84="",H84=""),"",E84*H84)</f>
        <v/>
      </c>
      <c r="J84" s="12"/>
    </row>
    <row r="85" customFormat="false" ht="15" hidden="false" customHeight="false" outlineLevel="0" collapsed="false">
      <c r="A85" s="12"/>
      <c r="B85" s="12"/>
      <c r="C85" s="12"/>
      <c r="D85" s="13"/>
      <c r="E85" s="12"/>
      <c r="F85" s="12"/>
      <c r="G85" s="12"/>
      <c r="H85" s="14"/>
      <c r="I85" s="15" t="str">
        <f aca="false">IF(OR(E85="",H85=""),"",E85*H85)</f>
        <v/>
      </c>
      <c r="J85" s="12"/>
    </row>
    <row r="86" customFormat="false" ht="15" hidden="false" customHeight="false" outlineLevel="0" collapsed="false">
      <c r="A86" s="12"/>
      <c r="B86" s="12"/>
      <c r="C86" s="12"/>
      <c r="D86" s="13"/>
      <c r="E86" s="12"/>
      <c r="F86" s="12"/>
      <c r="G86" s="12"/>
      <c r="H86" s="14"/>
      <c r="I86" s="15" t="str">
        <f aca="false">IF(OR(E86="",H86=""),"",E86*H86)</f>
        <v/>
      </c>
      <c r="J86" s="12"/>
    </row>
    <row r="87" customFormat="false" ht="15" hidden="false" customHeight="false" outlineLevel="0" collapsed="false">
      <c r="A87" s="12"/>
      <c r="B87" s="12"/>
      <c r="C87" s="12"/>
      <c r="D87" s="13"/>
      <c r="E87" s="12"/>
      <c r="F87" s="12"/>
      <c r="G87" s="12"/>
      <c r="H87" s="14"/>
      <c r="I87" s="15" t="str">
        <f aca="false">IF(OR(E87="",H87=""),"",E87*H87)</f>
        <v/>
      </c>
      <c r="J87" s="12"/>
    </row>
    <row r="88" customFormat="false" ht="15" hidden="false" customHeight="false" outlineLevel="0" collapsed="false">
      <c r="A88" s="12"/>
      <c r="B88" s="12"/>
      <c r="C88" s="12"/>
      <c r="D88" s="13"/>
      <c r="E88" s="12"/>
      <c r="F88" s="12"/>
      <c r="G88" s="12"/>
      <c r="H88" s="14"/>
      <c r="I88" s="15" t="str">
        <f aca="false">IF(OR(E88="",H88=""),"",E88*H88)</f>
        <v/>
      </c>
      <c r="J88" s="12"/>
    </row>
    <row r="89" customFormat="false" ht="15" hidden="false" customHeight="false" outlineLevel="0" collapsed="false">
      <c r="A89" s="12"/>
      <c r="B89" s="12"/>
      <c r="C89" s="12"/>
      <c r="D89" s="13"/>
      <c r="E89" s="12"/>
      <c r="F89" s="12"/>
      <c r="G89" s="12"/>
      <c r="H89" s="14"/>
      <c r="I89" s="15" t="str">
        <f aca="false">IF(OR(E89="",H89=""),"",E89*H89)</f>
        <v/>
      </c>
      <c r="J89" s="12"/>
    </row>
    <row r="90" customFormat="false" ht="15" hidden="false" customHeight="false" outlineLevel="0" collapsed="false">
      <c r="A90" s="12"/>
      <c r="B90" s="12"/>
      <c r="C90" s="12"/>
      <c r="D90" s="13"/>
      <c r="E90" s="12"/>
      <c r="F90" s="12"/>
      <c r="G90" s="12"/>
      <c r="H90" s="14"/>
      <c r="I90" s="15" t="str">
        <f aca="false">IF(OR(E90="",H90=""),"",E90*H90)</f>
        <v/>
      </c>
      <c r="J90" s="12"/>
    </row>
    <row r="91" customFormat="false" ht="15" hidden="false" customHeight="false" outlineLevel="0" collapsed="false">
      <c r="A91" s="12"/>
      <c r="B91" s="12"/>
      <c r="C91" s="12"/>
      <c r="D91" s="13"/>
      <c r="E91" s="12"/>
      <c r="F91" s="12"/>
      <c r="G91" s="12"/>
      <c r="H91" s="14"/>
      <c r="I91" s="15" t="str">
        <f aca="false">IF(OR(E91="",H91=""),"",E91*H91)</f>
        <v/>
      </c>
      <c r="J91" s="12"/>
    </row>
    <row r="92" customFormat="false" ht="15" hidden="false" customHeight="false" outlineLevel="0" collapsed="false">
      <c r="A92" s="12"/>
      <c r="B92" s="12"/>
      <c r="C92" s="12"/>
      <c r="D92" s="13"/>
      <c r="E92" s="12"/>
      <c r="F92" s="12"/>
      <c r="G92" s="12"/>
      <c r="H92" s="14"/>
      <c r="I92" s="15" t="str">
        <f aca="false">IF(OR(E92="",H92=""),"",E92*H92)</f>
        <v/>
      </c>
      <c r="J92" s="12"/>
    </row>
    <row r="93" customFormat="false" ht="15" hidden="false" customHeight="false" outlineLevel="0" collapsed="false">
      <c r="A93" s="12"/>
      <c r="B93" s="12"/>
      <c r="C93" s="12"/>
      <c r="D93" s="13"/>
      <c r="E93" s="12"/>
      <c r="F93" s="12"/>
      <c r="G93" s="12"/>
      <c r="H93" s="14"/>
      <c r="I93" s="15" t="str">
        <f aca="false">IF(OR(E93="",H93=""),"",E93*H93)</f>
        <v/>
      </c>
      <c r="J93" s="12"/>
    </row>
    <row r="94" customFormat="false" ht="15" hidden="false" customHeight="false" outlineLevel="0" collapsed="false">
      <c r="A94" s="12"/>
      <c r="B94" s="12"/>
      <c r="C94" s="12"/>
      <c r="D94" s="13"/>
      <c r="E94" s="12"/>
      <c r="F94" s="12"/>
      <c r="G94" s="12"/>
      <c r="H94" s="14"/>
      <c r="I94" s="15" t="str">
        <f aca="false">IF(OR(E94="",H94=""),"",E94*H94)</f>
        <v/>
      </c>
      <c r="J94" s="12"/>
    </row>
    <row r="95" customFormat="false" ht="15" hidden="false" customHeight="false" outlineLevel="0" collapsed="false">
      <c r="A95" s="12"/>
      <c r="B95" s="12"/>
      <c r="C95" s="12"/>
      <c r="D95" s="13"/>
      <c r="E95" s="12"/>
      <c r="F95" s="12"/>
      <c r="G95" s="12"/>
      <c r="H95" s="14"/>
      <c r="I95" s="15" t="str">
        <f aca="false">IF(OR(E95="",H95=""),"",E95*H95)</f>
        <v/>
      </c>
      <c r="J95" s="12"/>
    </row>
    <row r="96" customFormat="false" ht="15" hidden="false" customHeight="false" outlineLevel="0" collapsed="false">
      <c r="A96" s="12"/>
      <c r="B96" s="12"/>
      <c r="C96" s="12"/>
      <c r="D96" s="13"/>
      <c r="E96" s="12"/>
      <c r="F96" s="12"/>
      <c r="G96" s="12"/>
      <c r="H96" s="14"/>
      <c r="I96" s="15" t="str">
        <f aca="false">IF(OR(E96="",H96=""),"",E96*H96)</f>
        <v/>
      </c>
      <c r="J96" s="12"/>
    </row>
    <row r="97" customFormat="false" ht="15" hidden="false" customHeight="false" outlineLevel="0" collapsed="false">
      <c r="A97" s="12"/>
      <c r="B97" s="12"/>
      <c r="C97" s="12"/>
      <c r="D97" s="13"/>
      <c r="E97" s="12"/>
      <c r="F97" s="12"/>
      <c r="G97" s="12"/>
      <c r="H97" s="14"/>
      <c r="I97" s="15" t="str">
        <f aca="false">IF(OR(E97="",H97=""),"",E97*H97)</f>
        <v/>
      </c>
      <c r="J97" s="12"/>
    </row>
    <row r="98" customFormat="false" ht="15" hidden="false" customHeight="false" outlineLevel="0" collapsed="false">
      <c r="A98" s="12"/>
      <c r="B98" s="12"/>
      <c r="C98" s="12"/>
      <c r="D98" s="13"/>
      <c r="E98" s="12"/>
      <c r="F98" s="12"/>
      <c r="G98" s="12"/>
      <c r="H98" s="14"/>
      <c r="I98" s="15" t="str">
        <f aca="false">IF(OR(E98="",H98=""),"",E98*H98)</f>
        <v/>
      </c>
      <c r="J98" s="12"/>
    </row>
    <row r="99" customFormat="false" ht="15" hidden="false" customHeight="false" outlineLevel="0" collapsed="false">
      <c r="A99" s="12"/>
      <c r="B99" s="12"/>
      <c r="C99" s="12"/>
      <c r="D99" s="13"/>
      <c r="E99" s="12"/>
      <c r="F99" s="12"/>
      <c r="G99" s="12"/>
      <c r="H99" s="14"/>
      <c r="I99" s="15" t="str">
        <f aca="false">IF(OR(E99="",H99=""),"",E99*H99)</f>
        <v/>
      </c>
      <c r="J99" s="12"/>
    </row>
    <row r="100" customFormat="false" ht="15" hidden="false" customHeight="false" outlineLevel="0" collapsed="false">
      <c r="A100" s="12"/>
      <c r="B100" s="12"/>
      <c r="C100" s="12"/>
      <c r="D100" s="13"/>
      <c r="E100" s="12"/>
      <c r="F100" s="12"/>
      <c r="G100" s="12"/>
      <c r="H100" s="14"/>
      <c r="I100" s="15" t="str">
        <f aca="false">IF(OR(E100="",H100=""),"",E100*H100)</f>
        <v/>
      </c>
      <c r="J100" s="12"/>
    </row>
    <row r="101" customFormat="false" ht="15" hidden="false" customHeight="false" outlineLevel="0" collapsed="false">
      <c r="A101" s="12"/>
      <c r="B101" s="12"/>
      <c r="C101" s="12"/>
      <c r="D101" s="13"/>
      <c r="E101" s="12"/>
      <c r="F101" s="12"/>
      <c r="G101" s="12"/>
      <c r="H101" s="14"/>
      <c r="I101" s="15" t="str">
        <f aca="false">IF(OR(E101="",H101=""),"",E101*H101)</f>
        <v/>
      </c>
      <c r="J101" s="12"/>
    </row>
    <row r="102" customFormat="false" ht="15" hidden="false" customHeight="false" outlineLevel="0" collapsed="false">
      <c r="A102" s="12"/>
      <c r="B102" s="12"/>
      <c r="C102" s="12"/>
      <c r="D102" s="13"/>
      <c r="E102" s="12"/>
      <c r="F102" s="12"/>
      <c r="G102" s="12"/>
      <c r="H102" s="14"/>
      <c r="I102" s="15" t="str">
        <f aca="false">IF(OR(E102="",H102=""),"",E102*H102)</f>
        <v/>
      </c>
      <c r="J102" s="12"/>
    </row>
    <row r="103" customFormat="false" ht="15" hidden="false" customHeight="false" outlineLevel="0" collapsed="false">
      <c r="A103" s="12"/>
      <c r="B103" s="12"/>
      <c r="C103" s="12"/>
      <c r="D103" s="13"/>
      <c r="E103" s="12"/>
      <c r="F103" s="12"/>
      <c r="G103" s="12"/>
      <c r="H103" s="14"/>
      <c r="I103" s="15" t="str">
        <f aca="false">IF(OR(E103="",H103=""),"",E103*H103)</f>
        <v/>
      </c>
      <c r="J103" s="12"/>
    </row>
    <row r="104" customFormat="false" ht="15" hidden="false" customHeight="false" outlineLevel="0" collapsed="false">
      <c r="A104" s="12"/>
      <c r="B104" s="12"/>
      <c r="C104" s="12"/>
      <c r="D104" s="13"/>
      <c r="E104" s="12"/>
      <c r="F104" s="12"/>
      <c r="G104" s="12"/>
      <c r="H104" s="14"/>
      <c r="I104" s="15" t="str">
        <f aca="false">IF(OR(E104="",H104=""),"",E104*H104)</f>
        <v/>
      </c>
      <c r="J104" s="12"/>
    </row>
    <row r="105" customFormat="false" ht="15" hidden="false" customHeight="false" outlineLevel="0" collapsed="false">
      <c r="A105" s="12"/>
      <c r="B105" s="12"/>
      <c r="C105" s="12"/>
      <c r="D105" s="13"/>
      <c r="E105" s="12"/>
      <c r="F105" s="12"/>
      <c r="G105" s="12"/>
      <c r="H105" s="14"/>
      <c r="I105" s="15" t="str">
        <f aca="false">IF(OR(E105="",H105=""),"",E105*H105)</f>
        <v/>
      </c>
      <c r="J105" s="12"/>
    </row>
    <row r="106" customFormat="false" ht="15" hidden="false" customHeight="false" outlineLevel="0" collapsed="false">
      <c r="A106" s="12"/>
      <c r="B106" s="12"/>
      <c r="C106" s="12"/>
      <c r="D106" s="13"/>
      <c r="E106" s="12"/>
      <c r="F106" s="12"/>
      <c r="G106" s="12"/>
      <c r="H106" s="14"/>
      <c r="I106" s="15" t="str">
        <f aca="false">IF(OR(E106="",H106=""),"",E106*H106)</f>
        <v/>
      </c>
      <c r="J106" s="12"/>
    </row>
    <row r="107" customFormat="false" ht="15" hidden="false" customHeight="false" outlineLevel="0" collapsed="false">
      <c r="A107" s="12"/>
      <c r="B107" s="12"/>
      <c r="C107" s="12"/>
      <c r="D107" s="13"/>
      <c r="E107" s="12"/>
      <c r="F107" s="12"/>
      <c r="G107" s="12"/>
      <c r="H107" s="14"/>
      <c r="I107" s="15" t="str">
        <f aca="false">IF(OR(E107="",H107=""),"",E107*H107)</f>
        <v/>
      </c>
      <c r="J107" s="12"/>
    </row>
    <row r="108" customFormat="false" ht="15" hidden="false" customHeight="false" outlineLevel="0" collapsed="false">
      <c r="A108" s="12"/>
      <c r="B108" s="12"/>
      <c r="C108" s="12"/>
      <c r="D108" s="13"/>
      <c r="E108" s="12"/>
      <c r="F108" s="12"/>
      <c r="G108" s="12"/>
      <c r="H108" s="14"/>
      <c r="I108" s="15" t="str">
        <f aca="false">IF(OR(E108="",H108=""),"",E108*H108)</f>
        <v/>
      </c>
      <c r="J108" s="12"/>
    </row>
    <row r="109" customFormat="false" ht="15" hidden="false" customHeight="false" outlineLevel="0" collapsed="false">
      <c r="A109" s="12"/>
      <c r="B109" s="12"/>
      <c r="C109" s="12"/>
      <c r="D109" s="13"/>
      <c r="E109" s="12"/>
      <c r="F109" s="12"/>
      <c r="G109" s="12"/>
      <c r="H109" s="14"/>
      <c r="I109" s="15" t="str">
        <f aca="false">IF(OR(E109="",H109=""),"",E109*H109)</f>
        <v/>
      </c>
      <c r="J109" s="12"/>
    </row>
    <row r="110" customFormat="false" ht="15" hidden="false" customHeight="false" outlineLevel="0" collapsed="false">
      <c r="A110" s="12"/>
      <c r="B110" s="12"/>
      <c r="C110" s="12"/>
      <c r="D110" s="13"/>
      <c r="E110" s="12"/>
      <c r="F110" s="12"/>
      <c r="G110" s="12"/>
      <c r="H110" s="14"/>
      <c r="I110" s="15" t="str">
        <f aca="false">IF(OR(E110="",H110=""),"",E110*H110)</f>
        <v/>
      </c>
      <c r="J110" s="12"/>
    </row>
    <row r="111" customFormat="false" ht="15" hidden="false" customHeight="false" outlineLevel="0" collapsed="false">
      <c r="A111" s="12"/>
      <c r="B111" s="12"/>
      <c r="C111" s="12"/>
      <c r="D111" s="13"/>
      <c r="E111" s="12"/>
      <c r="F111" s="12"/>
      <c r="G111" s="12"/>
      <c r="H111" s="14"/>
      <c r="I111" s="15" t="str">
        <f aca="false">IF(OR(E111="",H111=""),"",E111*H111)</f>
        <v/>
      </c>
      <c r="J111" s="12"/>
    </row>
    <row r="112" customFormat="false" ht="15" hidden="false" customHeight="false" outlineLevel="0" collapsed="false">
      <c r="A112" s="12"/>
      <c r="B112" s="12"/>
      <c r="C112" s="12"/>
      <c r="D112" s="13"/>
      <c r="E112" s="12"/>
      <c r="F112" s="12"/>
      <c r="G112" s="12"/>
      <c r="H112" s="14"/>
      <c r="I112" s="15" t="str">
        <f aca="false">IF(OR(E112="",H112=""),"",E112*H112)</f>
        <v/>
      </c>
      <c r="J112" s="12"/>
    </row>
    <row r="113" customFormat="false" ht="15" hidden="false" customHeight="false" outlineLevel="0" collapsed="false">
      <c r="A113" s="12"/>
      <c r="B113" s="12"/>
      <c r="C113" s="12"/>
      <c r="D113" s="13"/>
      <c r="E113" s="12"/>
      <c r="F113" s="12"/>
      <c r="G113" s="12"/>
      <c r="H113" s="14"/>
      <c r="I113" s="15" t="str">
        <f aca="false">IF(OR(E113="",H113=""),"",E113*H113)</f>
        <v/>
      </c>
      <c r="J113" s="12"/>
    </row>
    <row r="114" customFormat="false" ht="15" hidden="false" customHeight="false" outlineLevel="0" collapsed="false">
      <c r="A114" s="12"/>
      <c r="B114" s="12"/>
      <c r="C114" s="12"/>
      <c r="D114" s="13"/>
      <c r="E114" s="12"/>
      <c r="F114" s="12"/>
      <c r="G114" s="12"/>
      <c r="H114" s="14"/>
      <c r="I114" s="15" t="str">
        <f aca="false">IF(OR(E114="",H114=""),"",E114*H114)</f>
        <v/>
      </c>
      <c r="J114" s="12"/>
    </row>
    <row r="115" customFormat="false" ht="15" hidden="false" customHeight="false" outlineLevel="0" collapsed="false">
      <c r="A115" s="12"/>
      <c r="B115" s="12"/>
      <c r="C115" s="12"/>
      <c r="D115" s="13"/>
      <c r="E115" s="12"/>
      <c r="F115" s="12"/>
      <c r="G115" s="12"/>
      <c r="H115" s="14"/>
      <c r="I115" s="15" t="str">
        <f aca="false">IF(OR(E115="",H115=""),"",E115*H115)</f>
        <v/>
      </c>
      <c r="J115" s="12"/>
    </row>
    <row r="116" customFormat="false" ht="15" hidden="false" customHeight="false" outlineLevel="0" collapsed="false">
      <c r="A116" s="12"/>
      <c r="B116" s="12"/>
      <c r="C116" s="12"/>
      <c r="D116" s="13"/>
      <c r="E116" s="12"/>
      <c r="F116" s="12"/>
      <c r="G116" s="12"/>
      <c r="H116" s="14"/>
      <c r="I116" s="15" t="str">
        <f aca="false">IF(OR(E116="",H116=""),"",E116*H116)</f>
        <v/>
      </c>
      <c r="J116" s="12"/>
    </row>
    <row r="117" customFormat="false" ht="15" hidden="false" customHeight="false" outlineLevel="0" collapsed="false">
      <c r="A117" s="12"/>
      <c r="B117" s="12"/>
      <c r="C117" s="12"/>
      <c r="D117" s="13"/>
      <c r="E117" s="12"/>
      <c r="F117" s="12"/>
      <c r="G117" s="12"/>
      <c r="H117" s="14"/>
      <c r="I117" s="15" t="str">
        <f aca="false">IF(OR(E117="",H117=""),"",E117*H117)</f>
        <v/>
      </c>
      <c r="J117" s="12"/>
    </row>
    <row r="118" customFormat="false" ht="15" hidden="false" customHeight="false" outlineLevel="0" collapsed="false">
      <c r="A118" s="12"/>
      <c r="B118" s="12"/>
      <c r="C118" s="12"/>
      <c r="D118" s="13"/>
      <c r="E118" s="12"/>
      <c r="F118" s="12"/>
      <c r="G118" s="12"/>
      <c r="H118" s="14"/>
      <c r="I118" s="15" t="str">
        <f aca="false">IF(OR(E118="",H118=""),"",E118*H118)</f>
        <v/>
      </c>
      <c r="J118" s="12"/>
    </row>
    <row r="119" customFormat="false" ht="15" hidden="false" customHeight="false" outlineLevel="0" collapsed="false">
      <c r="A119" s="12"/>
      <c r="B119" s="12"/>
      <c r="C119" s="12"/>
      <c r="D119" s="13"/>
      <c r="E119" s="12"/>
      <c r="F119" s="12"/>
      <c r="G119" s="12"/>
      <c r="H119" s="14"/>
      <c r="I119" s="15" t="str">
        <f aca="false">IF(OR(E119="",H119=""),"",E119*H119)</f>
        <v/>
      </c>
      <c r="J119" s="12"/>
    </row>
    <row r="120" customFormat="false" ht="15" hidden="false" customHeight="false" outlineLevel="0" collapsed="false">
      <c r="A120" s="12"/>
      <c r="B120" s="12"/>
      <c r="C120" s="12"/>
      <c r="D120" s="13"/>
      <c r="E120" s="12"/>
      <c r="F120" s="12"/>
      <c r="G120" s="12"/>
      <c r="H120" s="14"/>
      <c r="I120" s="15" t="str">
        <f aca="false">IF(OR(E120="",H120=""),"",E120*H120)</f>
        <v/>
      </c>
      <c r="J120" s="12"/>
    </row>
    <row r="121" customFormat="false" ht="15" hidden="false" customHeight="false" outlineLevel="0" collapsed="false">
      <c r="A121" s="12"/>
      <c r="B121" s="12"/>
      <c r="C121" s="12"/>
      <c r="D121" s="13"/>
      <c r="E121" s="12"/>
      <c r="F121" s="12"/>
      <c r="G121" s="12"/>
      <c r="H121" s="14"/>
      <c r="I121" s="15" t="str">
        <f aca="false">IF(OR(E121="",H121=""),"",E121*H121)</f>
        <v/>
      </c>
      <c r="J121" s="12"/>
    </row>
    <row r="122" customFormat="false" ht="15" hidden="false" customHeight="false" outlineLevel="0" collapsed="false">
      <c r="A122" s="12"/>
      <c r="B122" s="12"/>
      <c r="C122" s="12"/>
      <c r="D122" s="13"/>
      <c r="E122" s="12"/>
      <c r="F122" s="12"/>
      <c r="G122" s="12"/>
      <c r="H122" s="14"/>
      <c r="I122" s="15" t="str">
        <f aca="false">IF(OR(E122="",H122=""),"",E122*H122)</f>
        <v/>
      </c>
      <c r="J122" s="12"/>
    </row>
    <row r="123" customFormat="false" ht="15" hidden="false" customHeight="false" outlineLevel="0" collapsed="false">
      <c r="A123" s="12"/>
      <c r="B123" s="12"/>
      <c r="C123" s="12"/>
      <c r="D123" s="13"/>
      <c r="E123" s="12"/>
      <c r="F123" s="12"/>
      <c r="G123" s="12"/>
      <c r="H123" s="14"/>
      <c r="I123" s="15" t="str">
        <f aca="false">IF(OR(E123="",H123=""),"",E123*H123)</f>
        <v/>
      </c>
      <c r="J123" s="12"/>
    </row>
    <row r="124" customFormat="false" ht="15" hidden="false" customHeight="false" outlineLevel="0" collapsed="false">
      <c r="A124" s="12"/>
      <c r="B124" s="12"/>
      <c r="C124" s="12"/>
      <c r="D124" s="13"/>
      <c r="E124" s="12"/>
      <c r="F124" s="12"/>
      <c r="G124" s="12"/>
      <c r="H124" s="14"/>
      <c r="I124" s="15" t="str">
        <f aca="false">IF(OR(E124="",H124=""),"",E124*H124)</f>
        <v/>
      </c>
      <c r="J124" s="12"/>
    </row>
    <row r="125" customFormat="false" ht="15" hidden="false" customHeight="false" outlineLevel="0" collapsed="false">
      <c r="A125" s="12"/>
      <c r="B125" s="12"/>
      <c r="C125" s="12"/>
      <c r="D125" s="13"/>
      <c r="E125" s="12"/>
      <c r="F125" s="12"/>
      <c r="G125" s="12"/>
      <c r="H125" s="14"/>
      <c r="I125" s="15" t="str">
        <f aca="false">IF(OR(E125="",H125=""),"",E125*H125)</f>
        <v/>
      </c>
      <c r="J125" s="12"/>
    </row>
    <row r="126" customFormat="false" ht="15" hidden="false" customHeight="false" outlineLevel="0" collapsed="false">
      <c r="A126" s="12"/>
      <c r="B126" s="12"/>
      <c r="C126" s="12"/>
      <c r="D126" s="13"/>
      <c r="E126" s="12"/>
      <c r="F126" s="12"/>
      <c r="G126" s="12"/>
      <c r="H126" s="14"/>
      <c r="I126" s="15" t="str">
        <f aca="false">IF(OR(E126="",H126=""),"",E126*H126)</f>
        <v/>
      </c>
      <c r="J126" s="12"/>
    </row>
    <row r="127" customFormat="false" ht="15" hidden="false" customHeight="false" outlineLevel="0" collapsed="false">
      <c r="A127" s="12"/>
      <c r="B127" s="12"/>
      <c r="C127" s="12"/>
      <c r="D127" s="13"/>
      <c r="E127" s="12"/>
      <c r="F127" s="12"/>
      <c r="G127" s="12"/>
      <c r="H127" s="14"/>
      <c r="I127" s="15" t="str">
        <f aca="false">IF(OR(E127="",H127=""),"",E127*H127)</f>
        <v/>
      </c>
      <c r="J127" s="12"/>
    </row>
    <row r="128" customFormat="false" ht="15" hidden="false" customHeight="false" outlineLevel="0" collapsed="false">
      <c r="A128" s="12"/>
      <c r="B128" s="12"/>
      <c r="C128" s="12"/>
      <c r="D128" s="13"/>
      <c r="E128" s="12"/>
      <c r="F128" s="12"/>
      <c r="G128" s="12"/>
      <c r="H128" s="14"/>
      <c r="I128" s="15" t="str">
        <f aca="false">IF(OR(E128="",H128=""),"",E128*H128)</f>
        <v/>
      </c>
      <c r="J128" s="12"/>
    </row>
    <row r="129" customFormat="false" ht="15" hidden="false" customHeight="false" outlineLevel="0" collapsed="false">
      <c r="A129" s="12"/>
      <c r="B129" s="12"/>
      <c r="C129" s="12"/>
      <c r="D129" s="13"/>
      <c r="E129" s="12"/>
      <c r="F129" s="12"/>
      <c r="G129" s="12"/>
      <c r="H129" s="14"/>
      <c r="I129" s="15" t="str">
        <f aca="false">IF(OR(E129="",H129=""),"",E129*H129)</f>
        <v/>
      </c>
      <c r="J129" s="12"/>
    </row>
    <row r="130" customFormat="false" ht="15" hidden="false" customHeight="false" outlineLevel="0" collapsed="false">
      <c r="A130" s="12"/>
      <c r="B130" s="12"/>
      <c r="C130" s="12"/>
      <c r="D130" s="13"/>
      <c r="E130" s="12"/>
      <c r="F130" s="12"/>
      <c r="G130" s="12"/>
      <c r="H130" s="14"/>
      <c r="I130" s="15" t="str">
        <f aca="false">IF(OR(E130="",H130=""),"",E130*H130)</f>
        <v/>
      </c>
      <c r="J130" s="12"/>
    </row>
    <row r="131" customFormat="false" ht="15" hidden="false" customHeight="false" outlineLevel="0" collapsed="false">
      <c r="A131" s="12"/>
      <c r="B131" s="12"/>
      <c r="C131" s="12"/>
      <c r="D131" s="13"/>
      <c r="E131" s="12"/>
      <c r="F131" s="12"/>
      <c r="G131" s="12"/>
      <c r="H131" s="14"/>
      <c r="I131" s="15" t="str">
        <f aca="false">IF(OR(E131="",H131=""),"",E131*H131)</f>
        <v/>
      </c>
      <c r="J131" s="12"/>
    </row>
    <row r="132" customFormat="false" ht="15" hidden="false" customHeight="false" outlineLevel="0" collapsed="false">
      <c r="A132" s="12"/>
      <c r="B132" s="12"/>
      <c r="C132" s="12"/>
      <c r="D132" s="13"/>
      <c r="E132" s="12"/>
      <c r="F132" s="12"/>
      <c r="G132" s="12"/>
      <c r="H132" s="14"/>
      <c r="I132" s="15" t="str">
        <f aca="false">IF(OR(E132="",H132=""),"",E132*H132)</f>
        <v/>
      </c>
      <c r="J132" s="12"/>
    </row>
    <row r="133" customFormat="false" ht="15" hidden="false" customHeight="false" outlineLevel="0" collapsed="false">
      <c r="A133" s="12"/>
      <c r="B133" s="12"/>
      <c r="C133" s="12"/>
      <c r="D133" s="13"/>
      <c r="E133" s="12"/>
      <c r="F133" s="12"/>
      <c r="G133" s="12"/>
      <c r="H133" s="14"/>
      <c r="I133" s="15" t="str">
        <f aca="false">IF(OR(E133="",H133=""),"",E133*H133)</f>
        <v/>
      </c>
      <c r="J133" s="12"/>
    </row>
    <row r="134" customFormat="false" ht="15" hidden="false" customHeight="false" outlineLevel="0" collapsed="false">
      <c r="A134" s="12"/>
      <c r="B134" s="12"/>
      <c r="C134" s="12"/>
      <c r="D134" s="13"/>
      <c r="E134" s="12"/>
      <c r="F134" s="12"/>
      <c r="G134" s="12"/>
      <c r="H134" s="14"/>
      <c r="I134" s="15" t="str">
        <f aca="false">IF(OR(E134="",H134=""),"",E134*H134)</f>
        <v/>
      </c>
      <c r="J134" s="12"/>
    </row>
    <row r="135" customFormat="false" ht="15" hidden="false" customHeight="false" outlineLevel="0" collapsed="false">
      <c r="A135" s="12"/>
      <c r="B135" s="12"/>
      <c r="C135" s="12"/>
      <c r="D135" s="13"/>
      <c r="E135" s="12"/>
      <c r="F135" s="12"/>
      <c r="G135" s="12"/>
      <c r="H135" s="14"/>
      <c r="I135" s="15" t="str">
        <f aca="false">IF(OR(E135="",H135=""),"",E135*H135)</f>
        <v/>
      </c>
      <c r="J135" s="12"/>
    </row>
    <row r="136" customFormat="false" ht="15" hidden="false" customHeight="false" outlineLevel="0" collapsed="false">
      <c r="A136" s="12"/>
      <c r="B136" s="12"/>
      <c r="C136" s="12"/>
      <c r="D136" s="13"/>
      <c r="E136" s="12"/>
      <c r="F136" s="12"/>
      <c r="G136" s="12"/>
      <c r="H136" s="14"/>
      <c r="I136" s="15" t="str">
        <f aca="false">IF(OR(E136="",H136=""),"",E136*H136)</f>
        <v/>
      </c>
      <c r="J136" s="12"/>
    </row>
    <row r="137" customFormat="false" ht="15" hidden="false" customHeight="false" outlineLevel="0" collapsed="false">
      <c r="A137" s="12"/>
      <c r="B137" s="12"/>
      <c r="C137" s="12"/>
      <c r="D137" s="13"/>
      <c r="E137" s="12"/>
      <c r="F137" s="12"/>
      <c r="G137" s="12"/>
      <c r="H137" s="14"/>
      <c r="I137" s="15" t="str">
        <f aca="false">IF(OR(E137="",H137=""),"",E137*H137)</f>
        <v/>
      </c>
      <c r="J137" s="12"/>
    </row>
    <row r="138" customFormat="false" ht="15" hidden="false" customHeight="false" outlineLevel="0" collapsed="false">
      <c r="A138" s="12"/>
      <c r="B138" s="12"/>
      <c r="C138" s="12"/>
      <c r="D138" s="13"/>
      <c r="E138" s="12"/>
      <c r="F138" s="12"/>
      <c r="G138" s="12"/>
      <c r="H138" s="14"/>
      <c r="I138" s="15" t="str">
        <f aca="false">IF(OR(E138="",H138=""),"",E138*H138)</f>
        <v/>
      </c>
      <c r="J138" s="12"/>
    </row>
    <row r="139" customFormat="false" ht="15" hidden="false" customHeight="false" outlineLevel="0" collapsed="false">
      <c r="A139" s="12"/>
      <c r="B139" s="12"/>
      <c r="C139" s="12"/>
      <c r="D139" s="13"/>
      <c r="E139" s="12"/>
      <c r="F139" s="12"/>
      <c r="G139" s="12"/>
      <c r="H139" s="14"/>
      <c r="I139" s="15" t="str">
        <f aca="false">IF(OR(E139="",H139=""),"",E139*H139)</f>
        <v/>
      </c>
      <c r="J139" s="12"/>
    </row>
    <row r="140" customFormat="false" ht="15" hidden="false" customHeight="false" outlineLevel="0" collapsed="false">
      <c r="A140" s="12"/>
      <c r="B140" s="12"/>
      <c r="C140" s="12"/>
      <c r="D140" s="13"/>
      <c r="E140" s="12"/>
      <c r="F140" s="12"/>
      <c r="G140" s="12"/>
      <c r="H140" s="14"/>
      <c r="I140" s="15" t="str">
        <f aca="false">IF(OR(E140="",H140=""),"",E140*H140)</f>
        <v/>
      </c>
      <c r="J140" s="12"/>
    </row>
    <row r="141" customFormat="false" ht="15" hidden="false" customHeight="false" outlineLevel="0" collapsed="false">
      <c r="A141" s="12"/>
      <c r="B141" s="12"/>
      <c r="C141" s="12"/>
      <c r="D141" s="13"/>
      <c r="E141" s="12"/>
      <c r="F141" s="12"/>
      <c r="G141" s="12"/>
      <c r="H141" s="14"/>
      <c r="I141" s="15" t="str">
        <f aca="false">IF(OR(E141="",H141=""),"",E141*H141)</f>
        <v/>
      </c>
      <c r="J141" s="12"/>
    </row>
    <row r="142" customFormat="false" ht="15" hidden="false" customHeight="false" outlineLevel="0" collapsed="false">
      <c r="A142" s="12"/>
      <c r="B142" s="12"/>
      <c r="C142" s="12"/>
      <c r="D142" s="13"/>
      <c r="E142" s="12"/>
      <c r="F142" s="12"/>
      <c r="G142" s="12"/>
      <c r="H142" s="14"/>
      <c r="I142" s="15" t="str">
        <f aca="false">IF(OR(E142="",H142=""),"",E142*H142)</f>
        <v/>
      </c>
      <c r="J142" s="12"/>
    </row>
    <row r="143" customFormat="false" ht="15" hidden="false" customHeight="false" outlineLevel="0" collapsed="false">
      <c r="A143" s="12"/>
      <c r="B143" s="12"/>
      <c r="C143" s="12"/>
      <c r="D143" s="13"/>
      <c r="E143" s="12"/>
      <c r="F143" s="12"/>
      <c r="G143" s="12"/>
      <c r="H143" s="14"/>
      <c r="I143" s="15" t="str">
        <f aca="false">IF(OR(E143="",H143=""),"",E143*H143)</f>
        <v/>
      </c>
      <c r="J143" s="12"/>
    </row>
    <row r="144" customFormat="false" ht="15" hidden="false" customHeight="false" outlineLevel="0" collapsed="false">
      <c r="A144" s="12"/>
      <c r="B144" s="12"/>
      <c r="C144" s="12"/>
      <c r="D144" s="13"/>
      <c r="E144" s="12"/>
      <c r="F144" s="12"/>
      <c r="G144" s="12"/>
      <c r="H144" s="14"/>
      <c r="I144" s="15" t="str">
        <f aca="false">IF(OR(E144="",H144=""),"",E144*H144)</f>
        <v/>
      </c>
      <c r="J144" s="12"/>
    </row>
    <row r="145" customFormat="false" ht="15" hidden="false" customHeight="false" outlineLevel="0" collapsed="false">
      <c r="A145" s="12"/>
      <c r="B145" s="12"/>
      <c r="C145" s="12"/>
      <c r="D145" s="13"/>
      <c r="E145" s="12"/>
      <c r="F145" s="12"/>
      <c r="G145" s="12"/>
      <c r="H145" s="14"/>
      <c r="I145" s="15" t="str">
        <f aca="false">IF(OR(E145="",H145=""),"",E145*H145)</f>
        <v/>
      </c>
      <c r="J145" s="12"/>
    </row>
    <row r="146" customFormat="false" ht="15" hidden="false" customHeight="false" outlineLevel="0" collapsed="false">
      <c r="A146" s="12"/>
      <c r="B146" s="12"/>
      <c r="C146" s="12"/>
      <c r="D146" s="13"/>
      <c r="E146" s="12"/>
      <c r="F146" s="12"/>
      <c r="G146" s="12"/>
      <c r="H146" s="14"/>
      <c r="I146" s="15" t="str">
        <f aca="false">IF(OR(E146="",H146=""),"",E146*H146)</f>
        <v/>
      </c>
      <c r="J146" s="12"/>
    </row>
    <row r="147" customFormat="false" ht="15" hidden="false" customHeight="false" outlineLevel="0" collapsed="false">
      <c r="A147" s="12"/>
      <c r="B147" s="12"/>
      <c r="C147" s="12"/>
      <c r="D147" s="13"/>
      <c r="E147" s="12"/>
      <c r="F147" s="12"/>
      <c r="G147" s="12"/>
      <c r="H147" s="14"/>
      <c r="I147" s="15" t="str">
        <f aca="false">IF(OR(E147="",H147=""),"",E147*H147)</f>
        <v/>
      </c>
      <c r="J147" s="12"/>
    </row>
    <row r="148" customFormat="false" ht="15" hidden="false" customHeight="false" outlineLevel="0" collapsed="false">
      <c r="A148" s="12"/>
      <c r="B148" s="12"/>
      <c r="C148" s="12"/>
      <c r="D148" s="13"/>
      <c r="E148" s="12"/>
      <c r="F148" s="12"/>
      <c r="G148" s="12"/>
      <c r="H148" s="14"/>
      <c r="I148" s="15" t="str">
        <f aca="false">IF(OR(E148="",H148=""),"",E148*H148)</f>
        <v/>
      </c>
      <c r="J148" s="12"/>
    </row>
    <row r="149" customFormat="false" ht="15" hidden="false" customHeight="false" outlineLevel="0" collapsed="false">
      <c r="A149" s="12"/>
      <c r="B149" s="12"/>
      <c r="C149" s="12"/>
      <c r="D149" s="13"/>
      <c r="E149" s="12"/>
      <c r="F149" s="12"/>
      <c r="G149" s="12"/>
      <c r="H149" s="14"/>
      <c r="I149" s="15" t="str">
        <f aca="false">IF(OR(E149="",H149=""),"",E149*H149)</f>
        <v/>
      </c>
      <c r="J149" s="12"/>
    </row>
    <row r="150" customFormat="false" ht="15" hidden="false" customHeight="false" outlineLevel="0" collapsed="false">
      <c r="A150" s="12"/>
      <c r="B150" s="12"/>
      <c r="C150" s="12"/>
      <c r="D150" s="13"/>
      <c r="E150" s="12"/>
      <c r="F150" s="12"/>
      <c r="G150" s="12"/>
      <c r="H150" s="14"/>
      <c r="I150" s="15" t="str">
        <f aca="false">IF(OR(E150="",H150=""),"",E150*H150)</f>
        <v/>
      </c>
      <c r="J150" s="12"/>
    </row>
    <row r="151" customFormat="false" ht="15" hidden="false" customHeight="false" outlineLevel="0" collapsed="false">
      <c r="A151" s="12"/>
      <c r="B151" s="12"/>
      <c r="C151" s="12"/>
      <c r="D151" s="13"/>
      <c r="E151" s="12"/>
      <c r="F151" s="12"/>
      <c r="G151" s="12"/>
      <c r="H151" s="14"/>
      <c r="I151" s="15" t="str">
        <f aca="false">IF(OR(E151="",H151=""),"",E151*H151)</f>
        <v/>
      </c>
      <c r="J151" s="12"/>
    </row>
    <row r="152" customFormat="false" ht="15" hidden="false" customHeight="false" outlineLevel="0" collapsed="false">
      <c r="A152" s="12"/>
      <c r="B152" s="12"/>
      <c r="C152" s="12"/>
      <c r="D152" s="13"/>
      <c r="E152" s="12"/>
      <c r="F152" s="12"/>
      <c r="G152" s="12"/>
      <c r="H152" s="14"/>
      <c r="I152" s="15" t="str">
        <f aca="false">IF(OR(E152="",H152=""),"",E152*H152)</f>
        <v/>
      </c>
      <c r="J152" s="12"/>
    </row>
    <row r="153" customFormat="false" ht="15" hidden="false" customHeight="false" outlineLevel="0" collapsed="false">
      <c r="A153" s="12"/>
      <c r="B153" s="12"/>
      <c r="C153" s="12"/>
      <c r="D153" s="13"/>
      <c r="E153" s="12"/>
      <c r="F153" s="12"/>
      <c r="G153" s="12"/>
      <c r="H153" s="14"/>
      <c r="I153" s="15" t="str">
        <f aca="false">IF(OR(E153="",H153=""),"",E153*H153)</f>
        <v/>
      </c>
      <c r="J153" s="12"/>
    </row>
    <row r="154" customFormat="false" ht="15" hidden="false" customHeight="false" outlineLevel="0" collapsed="false">
      <c r="A154" s="12"/>
      <c r="B154" s="12"/>
      <c r="C154" s="12"/>
      <c r="D154" s="13"/>
      <c r="E154" s="12"/>
      <c r="F154" s="12"/>
      <c r="G154" s="12"/>
      <c r="H154" s="14"/>
      <c r="I154" s="15" t="str">
        <f aca="false">IF(OR(E154="",H154=""),"",E154*H154)</f>
        <v/>
      </c>
      <c r="J154" s="12"/>
    </row>
    <row r="155" customFormat="false" ht="15" hidden="false" customHeight="false" outlineLevel="0" collapsed="false">
      <c r="A155" s="12"/>
      <c r="B155" s="12"/>
      <c r="C155" s="12"/>
      <c r="D155" s="13"/>
      <c r="E155" s="12"/>
      <c r="F155" s="12"/>
      <c r="G155" s="12"/>
      <c r="H155" s="14"/>
      <c r="I155" s="15" t="str">
        <f aca="false">IF(OR(E155="",H155=""),"",E155*H155)</f>
        <v/>
      </c>
      <c r="J155" s="12"/>
    </row>
    <row r="156" customFormat="false" ht="15" hidden="false" customHeight="false" outlineLevel="0" collapsed="false">
      <c r="A156" s="12"/>
      <c r="B156" s="12"/>
      <c r="C156" s="12"/>
      <c r="D156" s="13"/>
      <c r="E156" s="12"/>
      <c r="F156" s="12"/>
      <c r="G156" s="12"/>
      <c r="H156" s="14"/>
      <c r="I156" s="15" t="str">
        <f aca="false">IF(OR(E156="",H156=""),"",E156*H156)</f>
        <v/>
      </c>
      <c r="J156" s="12"/>
    </row>
    <row r="157" customFormat="false" ht="15" hidden="false" customHeight="false" outlineLevel="0" collapsed="false">
      <c r="A157" s="12"/>
      <c r="B157" s="12"/>
      <c r="C157" s="12"/>
      <c r="D157" s="13"/>
      <c r="E157" s="12"/>
      <c r="F157" s="12"/>
      <c r="G157" s="12"/>
      <c r="H157" s="14"/>
      <c r="I157" s="15" t="str">
        <f aca="false">IF(OR(E157="",H157=""),"",E157*H157)</f>
        <v/>
      </c>
      <c r="J157" s="12"/>
    </row>
    <row r="158" customFormat="false" ht="15" hidden="false" customHeight="false" outlineLevel="0" collapsed="false">
      <c r="A158" s="12"/>
      <c r="B158" s="12"/>
      <c r="C158" s="12"/>
      <c r="D158" s="13"/>
      <c r="E158" s="12"/>
      <c r="F158" s="12"/>
      <c r="G158" s="12"/>
      <c r="H158" s="14"/>
      <c r="I158" s="15" t="str">
        <f aca="false">IF(OR(E158="",H158=""),"",E158*H158)</f>
        <v/>
      </c>
      <c r="J158" s="12"/>
    </row>
    <row r="159" customFormat="false" ht="15" hidden="false" customHeight="false" outlineLevel="0" collapsed="false">
      <c r="A159" s="12"/>
      <c r="B159" s="12"/>
      <c r="C159" s="12"/>
      <c r="D159" s="13"/>
      <c r="E159" s="12"/>
      <c r="F159" s="12"/>
      <c r="G159" s="12"/>
      <c r="H159" s="14"/>
      <c r="I159" s="15" t="str">
        <f aca="false">IF(OR(E159="",H159=""),"",E159*H159)</f>
        <v/>
      </c>
      <c r="J159" s="12"/>
    </row>
    <row r="160" customFormat="false" ht="15" hidden="false" customHeight="false" outlineLevel="0" collapsed="false">
      <c r="A160" s="12"/>
      <c r="B160" s="12"/>
      <c r="C160" s="12"/>
      <c r="D160" s="13"/>
      <c r="E160" s="12"/>
      <c r="F160" s="12"/>
      <c r="G160" s="12"/>
      <c r="H160" s="14"/>
      <c r="I160" s="15" t="str">
        <f aca="false">IF(OR(E160="",H160=""),"",E160*H160)</f>
        <v/>
      </c>
      <c r="J160" s="12"/>
    </row>
    <row r="161" customFormat="false" ht="15" hidden="false" customHeight="false" outlineLevel="0" collapsed="false">
      <c r="A161" s="12"/>
      <c r="B161" s="12"/>
      <c r="C161" s="12"/>
      <c r="D161" s="13"/>
      <c r="E161" s="12"/>
      <c r="F161" s="12"/>
      <c r="G161" s="12"/>
      <c r="H161" s="14"/>
      <c r="I161" s="15" t="str">
        <f aca="false">IF(OR(E161="",H161=""),"",E161*H161)</f>
        <v/>
      </c>
      <c r="J161" s="12"/>
    </row>
    <row r="162" customFormat="false" ht="15" hidden="false" customHeight="false" outlineLevel="0" collapsed="false">
      <c r="A162" s="12"/>
      <c r="B162" s="12"/>
      <c r="C162" s="12"/>
      <c r="D162" s="13"/>
      <c r="E162" s="12"/>
      <c r="F162" s="12"/>
      <c r="G162" s="12"/>
      <c r="H162" s="14"/>
      <c r="I162" s="15" t="str">
        <f aca="false">IF(OR(E162="",H162=""),"",E162*H162)</f>
        <v/>
      </c>
      <c r="J162" s="12"/>
    </row>
    <row r="163" customFormat="false" ht="15" hidden="false" customHeight="false" outlineLevel="0" collapsed="false">
      <c r="A163" s="12"/>
      <c r="B163" s="12"/>
      <c r="C163" s="12"/>
      <c r="D163" s="13"/>
      <c r="E163" s="12"/>
      <c r="F163" s="12"/>
      <c r="G163" s="12"/>
      <c r="H163" s="14"/>
      <c r="I163" s="15" t="str">
        <f aca="false">IF(OR(E163="",H163=""),"",E163*H163)</f>
        <v/>
      </c>
      <c r="J163" s="12"/>
    </row>
    <row r="164" customFormat="false" ht="15" hidden="false" customHeight="false" outlineLevel="0" collapsed="false">
      <c r="A164" s="12"/>
      <c r="B164" s="12"/>
      <c r="C164" s="12"/>
      <c r="D164" s="13"/>
      <c r="E164" s="12"/>
      <c r="F164" s="12"/>
      <c r="G164" s="12"/>
      <c r="H164" s="14"/>
      <c r="I164" s="15" t="str">
        <f aca="false">IF(OR(E164="",H164=""),"",E164*H164)</f>
        <v/>
      </c>
      <c r="J164" s="12"/>
    </row>
    <row r="165" customFormat="false" ht="15" hidden="false" customHeight="false" outlineLevel="0" collapsed="false">
      <c r="A165" s="12"/>
      <c r="B165" s="12"/>
      <c r="C165" s="12"/>
      <c r="D165" s="13"/>
      <c r="E165" s="12"/>
      <c r="F165" s="12"/>
      <c r="G165" s="12"/>
      <c r="H165" s="14"/>
      <c r="I165" s="15" t="str">
        <f aca="false">IF(OR(E165="",H165=""),"",E165*H165)</f>
        <v/>
      </c>
      <c r="J165" s="12"/>
    </row>
    <row r="166" customFormat="false" ht="15" hidden="false" customHeight="false" outlineLevel="0" collapsed="false">
      <c r="A166" s="12"/>
      <c r="B166" s="12"/>
      <c r="C166" s="12"/>
      <c r="D166" s="13"/>
      <c r="E166" s="12"/>
      <c r="F166" s="12"/>
      <c r="G166" s="12"/>
      <c r="H166" s="14"/>
      <c r="I166" s="15" t="str">
        <f aca="false">IF(OR(E166="",H166=""),"",E166*H166)</f>
        <v/>
      </c>
      <c r="J166" s="12"/>
    </row>
    <row r="167" customFormat="false" ht="15" hidden="false" customHeight="false" outlineLevel="0" collapsed="false">
      <c r="A167" s="12"/>
      <c r="B167" s="12"/>
      <c r="C167" s="12"/>
      <c r="D167" s="13"/>
      <c r="E167" s="12"/>
      <c r="F167" s="12"/>
      <c r="G167" s="12"/>
      <c r="H167" s="14"/>
      <c r="I167" s="15" t="str">
        <f aca="false">IF(OR(E167="",H167=""),"",E167*H167)</f>
        <v/>
      </c>
      <c r="J167" s="12"/>
    </row>
    <row r="168" customFormat="false" ht="15" hidden="false" customHeight="false" outlineLevel="0" collapsed="false">
      <c r="A168" s="12"/>
      <c r="B168" s="12"/>
      <c r="C168" s="12"/>
      <c r="D168" s="13"/>
      <c r="E168" s="12"/>
      <c r="F168" s="12"/>
      <c r="G168" s="12"/>
      <c r="H168" s="14"/>
      <c r="I168" s="15" t="str">
        <f aca="false">IF(OR(E168="",H168=""),"",E168*H168)</f>
        <v/>
      </c>
      <c r="J168" s="12"/>
    </row>
    <row r="169" customFormat="false" ht="15" hidden="false" customHeight="false" outlineLevel="0" collapsed="false">
      <c r="A169" s="12"/>
      <c r="B169" s="12"/>
      <c r="C169" s="12"/>
      <c r="D169" s="13"/>
      <c r="E169" s="12"/>
      <c r="F169" s="12"/>
      <c r="G169" s="12"/>
      <c r="H169" s="14"/>
      <c r="I169" s="15" t="str">
        <f aca="false">IF(OR(E169="",H169=""),"",E169*H169)</f>
        <v/>
      </c>
      <c r="J169" s="12"/>
    </row>
    <row r="170" customFormat="false" ht="15" hidden="false" customHeight="false" outlineLevel="0" collapsed="false">
      <c r="A170" s="12"/>
      <c r="B170" s="12"/>
      <c r="C170" s="12"/>
      <c r="D170" s="13"/>
      <c r="E170" s="12"/>
      <c r="F170" s="12"/>
      <c r="G170" s="12"/>
      <c r="H170" s="14"/>
      <c r="I170" s="15" t="str">
        <f aca="false">IF(OR(E170="",H170=""),"",E170*H170)</f>
        <v/>
      </c>
      <c r="J170" s="12"/>
    </row>
    <row r="171" customFormat="false" ht="15" hidden="false" customHeight="false" outlineLevel="0" collapsed="false">
      <c r="A171" s="12"/>
      <c r="B171" s="12"/>
      <c r="C171" s="12"/>
      <c r="D171" s="13"/>
      <c r="E171" s="12"/>
      <c r="F171" s="12"/>
      <c r="G171" s="12"/>
      <c r="H171" s="14"/>
      <c r="I171" s="15" t="str">
        <f aca="false">IF(OR(E171="",H171=""),"",E171*H171)</f>
        <v/>
      </c>
      <c r="J171" s="12"/>
    </row>
    <row r="172" customFormat="false" ht="15" hidden="false" customHeight="false" outlineLevel="0" collapsed="false">
      <c r="A172" s="12"/>
      <c r="B172" s="12"/>
      <c r="C172" s="12"/>
      <c r="D172" s="13"/>
      <c r="E172" s="12"/>
      <c r="F172" s="12"/>
      <c r="G172" s="12"/>
      <c r="H172" s="14"/>
      <c r="I172" s="15" t="str">
        <f aca="false">IF(OR(E172="",H172=""),"",E172*H172)</f>
        <v/>
      </c>
      <c r="J172" s="12"/>
    </row>
    <row r="173" customFormat="false" ht="15" hidden="false" customHeight="false" outlineLevel="0" collapsed="false">
      <c r="A173" s="12"/>
      <c r="B173" s="12"/>
      <c r="C173" s="12"/>
      <c r="D173" s="13"/>
      <c r="E173" s="12"/>
      <c r="F173" s="12"/>
      <c r="G173" s="12"/>
      <c r="H173" s="14"/>
      <c r="I173" s="15" t="str">
        <f aca="false">IF(OR(E173="",H173=""),"",E173*H173)</f>
        <v/>
      </c>
      <c r="J173" s="12"/>
    </row>
    <row r="174" customFormat="false" ht="15" hidden="false" customHeight="false" outlineLevel="0" collapsed="false">
      <c r="A174" s="12"/>
      <c r="B174" s="12"/>
      <c r="C174" s="12"/>
      <c r="D174" s="13"/>
      <c r="E174" s="12"/>
      <c r="F174" s="12"/>
      <c r="G174" s="12"/>
      <c r="H174" s="14"/>
      <c r="I174" s="15" t="str">
        <f aca="false">IF(OR(E174="",H174=""),"",E174*H174)</f>
        <v/>
      </c>
      <c r="J174" s="12"/>
    </row>
    <row r="175" customFormat="false" ht="15" hidden="false" customHeight="false" outlineLevel="0" collapsed="false">
      <c r="A175" s="12"/>
      <c r="B175" s="12"/>
      <c r="C175" s="12"/>
      <c r="D175" s="13"/>
      <c r="E175" s="12"/>
      <c r="F175" s="12"/>
      <c r="G175" s="12"/>
      <c r="H175" s="14"/>
      <c r="I175" s="15" t="str">
        <f aca="false">IF(OR(E175="",H175=""),"",E175*H175)</f>
        <v/>
      </c>
      <c r="J175" s="12"/>
    </row>
    <row r="176" customFormat="false" ht="15" hidden="false" customHeight="false" outlineLevel="0" collapsed="false">
      <c r="A176" s="12"/>
      <c r="B176" s="12"/>
      <c r="C176" s="12"/>
      <c r="D176" s="13"/>
      <c r="E176" s="12"/>
      <c r="F176" s="12"/>
      <c r="G176" s="12"/>
      <c r="H176" s="14"/>
      <c r="I176" s="15" t="str">
        <f aca="false">IF(OR(E176="",H176=""),"",E176*H176)</f>
        <v/>
      </c>
      <c r="J176" s="12"/>
    </row>
    <row r="177" customFormat="false" ht="15" hidden="false" customHeight="false" outlineLevel="0" collapsed="false">
      <c r="A177" s="12"/>
      <c r="B177" s="12"/>
      <c r="C177" s="12"/>
      <c r="D177" s="13"/>
      <c r="E177" s="12"/>
      <c r="F177" s="12"/>
      <c r="G177" s="12"/>
      <c r="H177" s="14"/>
      <c r="I177" s="15" t="str">
        <f aca="false">IF(OR(E177="",H177=""),"",E177*H177)</f>
        <v/>
      </c>
      <c r="J177" s="12"/>
    </row>
    <row r="178" customFormat="false" ht="15" hidden="false" customHeight="false" outlineLevel="0" collapsed="false">
      <c r="A178" s="12"/>
      <c r="B178" s="12"/>
      <c r="C178" s="12"/>
      <c r="D178" s="13"/>
      <c r="E178" s="12"/>
      <c r="F178" s="12"/>
      <c r="G178" s="12"/>
      <c r="H178" s="14"/>
      <c r="I178" s="15" t="str">
        <f aca="false">IF(OR(E178="",H178=""),"",E178*H178)</f>
        <v/>
      </c>
      <c r="J178" s="12"/>
    </row>
    <row r="179" customFormat="false" ht="15" hidden="false" customHeight="false" outlineLevel="0" collapsed="false">
      <c r="A179" s="12"/>
      <c r="B179" s="12"/>
      <c r="C179" s="12"/>
      <c r="D179" s="13"/>
      <c r="E179" s="12"/>
      <c r="F179" s="12"/>
      <c r="G179" s="12"/>
      <c r="H179" s="14"/>
      <c r="I179" s="15" t="str">
        <f aca="false">IF(OR(E179="",H179=""),"",E179*H179)</f>
        <v/>
      </c>
      <c r="J179" s="12"/>
    </row>
    <row r="180" customFormat="false" ht="15" hidden="false" customHeight="false" outlineLevel="0" collapsed="false">
      <c r="A180" s="12"/>
      <c r="B180" s="12"/>
      <c r="C180" s="12"/>
      <c r="D180" s="13"/>
      <c r="E180" s="12"/>
      <c r="F180" s="12"/>
      <c r="G180" s="12"/>
      <c r="H180" s="14"/>
      <c r="I180" s="15" t="str">
        <f aca="false">IF(OR(E180="",H180=""),"",E180*H180)</f>
        <v/>
      </c>
      <c r="J180" s="12"/>
    </row>
    <row r="181" customFormat="false" ht="15" hidden="false" customHeight="false" outlineLevel="0" collapsed="false">
      <c r="A181" s="12"/>
      <c r="B181" s="12"/>
      <c r="C181" s="12"/>
      <c r="D181" s="13"/>
      <c r="E181" s="12"/>
      <c r="F181" s="12"/>
      <c r="G181" s="12"/>
      <c r="H181" s="14"/>
      <c r="I181" s="15" t="str">
        <f aca="false">IF(OR(E181="",H181=""),"",E181*H181)</f>
        <v/>
      </c>
      <c r="J181" s="12"/>
    </row>
    <row r="182" customFormat="false" ht="15" hidden="false" customHeight="false" outlineLevel="0" collapsed="false">
      <c r="A182" s="12"/>
      <c r="B182" s="12"/>
      <c r="C182" s="12"/>
      <c r="D182" s="13"/>
      <c r="E182" s="12"/>
      <c r="F182" s="12"/>
      <c r="G182" s="12"/>
      <c r="H182" s="14"/>
      <c r="I182" s="15" t="str">
        <f aca="false">IF(OR(E182="",H182=""),"",E182*H182)</f>
        <v/>
      </c>
      <c r="J182" s="12"/>
    </row>
    <row r="183" customFormat="false" ht="15" hidden="false" customHeight="false" outlineLevel="0" collapsed="false">
      <c r="A183" s="12"/>
      <c r="B183" s="12"/>
      <c r="C183" s="12"/>
      <c r="D183" s="13"/>
      <c r="E183" s="12"/>
      <c r="F183" s="12"/>
      <c r="G183" s="12"/>
      <c r="H183" s="14"/>
      <c r="I183" s="15" t="str">
        <f aca="false">IF(OR(E183="",H183=""),"",E183*H183)</f>
        <v/>
      </c>
      <c r="J183" s="12"/>
    </row>
    <row r="184" customFormat="false" ht="15" hidden="false" customHeight="false" outlineLevel="0" collapsed="false">
      <c r="A184" s="12"/>
      <c r="B184" s="12"/>
      <c r="C184" s="12"/>
      <c r="D184" s="13"/>
      <c r="E184" s="12"/>
      <c r="F184" s="12"/>
      <c r="G184" s="12"/>
      <c r="H184" s="14"/>
      <c r="I184" s="15" t="str">
        <f aca="false">IF(OR(E184="",H184=""),"",E184*H184)</f>
        <v/>
      </c>
      <c r="J184" s="12"/>
    </row>
    <row r="185" customFormat="false" ht="15" hidden="false" customHeight="false" outlineLevel="0" collapsed="false">
      <c r="A185" s="12"/>
      <c r="B185" s="12"/>
      <c r="C185" s="12"/>
      <c r="D185" s="13"/>
      <c r="E185" s="12"/>
      <c r="F185" s="12"/>
      <c r="G185" s="12"/>
      <c r="H185" s="14"/>
      <c r="I185" s="15" t="str">
        <f aca="false">IF(OR(E185="",H185=""),"",E185*H185)</f>
        <v/>
      </c>
      <c r="J185" s="12"/>
    </row>
    <row r="186" customFormat="false" ht="15" hidden="false" customHeight="false" outlineLevel="0" collapsed="false">
      <c r="A186" s="12"/>
      <c r="B186" s="12"/>
      <c r="C186" s="12"/>
      <c r="D186" s="13"/>
      <c r="E186" s="12"/>
      <c r="F186" s="12"/>
      <c r="G186" s="12"/>
      <c r="H186" s="14"/>
      <c r="I186" s="15" t="str">
        <f aca="false">IF(OR(E186="",H186=""),"",E186*H186)</f>
        <v/>
      </c>
      <c r="J186" s="12"/>
    </row>
    <row r="187" customFormat="false" ht="15" hidden="false" customHeight="false" outlineLevel="0" collapsed="false">
      <c r="A187" s="12"/>
      <c r="B187" s="12"/>
      <c r="C187" s="12"/>
      <c r="D187" s="13"/>
      <c r="E187" s="12"/>
      <c r="F187" s="12"/>
      <c r="G187" s="12"/>
      <c r="H187" s="14"/>
      <c r="I187" s="15" t="str">
        <f aca="false">IF(OR(E187="",H187=""),"",E187*H187)</f>
        <v/>
      </c>
      <c r="J187" s="12"/>
    </row>
    <row r="188" customFormat="false" ht="15" hidden="false" customHeight="false" outlineLevel="0" collapsed="false">
      <c r="A188" s="12"/>
      <c r="B188" s="12"/>
      <c r="C188" s="12"/>
      <c r="D188" s="13"/>
      <c r="E188" s="12"/>
      <c r="F188" s="12"/>
      <c r="G188" s="12"/>
      <c r="H188" s="14"/>
      <c r="I188" s="15" t="str">
        <f aca="false">IF(OR(E188="",H188=""),"",E188*H188)</f>
        <v/>
      </c>
      <c r="J188" s="12"/>
    </row>
    <row r="189" customFormat="false" ht="15" hidden="false" customHeight="false" outlineLevel="0" collapsed="false">
      <c r="A189" s="12"/>
      <c r="B189" s="12"/>
      <c r="C189" s="12"/>
      <c r="D189" s="13"/>
      <c r="E189" s="12"/>
      <c r="F189" s="12"/>
      <c r="G189" s="12"/>
      <c r="H189" s="14"/>
      <c r="I189" s="15" t="str">
        <f aca="false">IF(OR(E189="",H189=""),"",E189*H189)</f>
        <v/>
      </c>
      <c r="J189" s="12"/>
    </row>
    <row r="190" customFormat="false" ht="15" hidden="false" customHeight="false" outlineLevel="0" collapsed="false">
      <c r="A190" s="12"/>
      <c r="B190" s="12"/>
      <c r="C190" s="12"/>
      <c r="D190" s="13"/>
      <c r="E190" s="12"/>
      <c r="F190" s="12"/>
      <c r="G190" s="12"/>
      <c r="H190" s="14"/>
      <c r="I190" s="15" t="str">
        <f aca="false">IF(OR(E190="",H190=""),"",E190*H190)</f>
        <v/>
      </c>
      <c r="J190" s="12"/>
    </row>
    <row r="191" customFormat="false" ht="15" hidden="false" customHeight="false" outlineLevel="0" collapsed="false">
      <c r="A191" s="12"/>
      <c r="B191" s="12"/>
      <c r="C191" s="12"/>
      <c r="D191" s="13"/>
      <c r="E191" s="12"/>
      <c r="F191" s="12"/>
      <c r="G191" s="12"/>
      <c r="H191" s="14"/>
      <c r="I191" s="15" t="str">
        <f aca="false">IF(OR(E191="",H191=""),"",E191*H191)</f>
        <v/>
      </c>
      <c r="J191" s="12"/>
    </row>
    <row r="192" customFormat="false" ht="15" hidden="false" customHeight="false" outlineLevel="0" collapsed="false">
      <c r="A192" s="12"/>
      <c r="B192" s="12"/>
      <c r="C192" s="12"/>
      <c r="D192" s="13"/>
      <c r="E192" s="12"/>
      <c r="F192" s="12"/>
      <c r="G192" s="12"/>
      <c r="H192" s="14"/>
      <c r="I192" s="15" t="str">
        <f aca="false">IF(OR(E192="",H192=""),"",E192*H192)</f>
        <v/>
      </c>
      <c r="J192" s="12"/>
    </row>
    <row r="193" customFormat="false" ht="15" hidden="false" customHeight="false" outlineLevel="0" collapsed="false">
      <c r="A193" s="12"/>
      <c r="B193" s="12"/>
      <c r="C193" s="12"/>
      <c r="D193" s="13"/>
      <c r="E193" s="12"/>
      <c r="F193" s="12"/>
      <c r="G193" s="12"/>
      <c r="H193" s="14"/>
      <c r="I193" s="15" t="str">
        <f aca="false">IF(OR(E193="",H193=""),"",E193*H193)</f>
        <v/>
      </c>
      <c r="J193" s="12"/>
    </row>
    <row r="194" customFormat="false" ht="15" hidden="false" customHeight="false" outlineLevel="0" collapsed="false">
      <c r="A194" s="12"/>
      <c r="B194" s="12"/>
      <c r="C194" s="12"/>
      <c r="D194" s="13"/>
      <c r="E194" s="12"/>
      <c r="F194" s="12"/>
      <c r="G194" s="12"/>
      <c r="H194" s="14"/>
      <c r="I194" s="15" t="str">
        <f aca="false">IF(OR(E194="",H194=""),"",E194*H194)</f>
        <v/>
      </c>
      <c r="J194" s="12"/>
    </row>
    <row r="195" customFormat="false" ht="15" hidden="false" customHeight="false" outlineLevel="0" collapsed="false">
      <c r="A195" s="12"/>
      <c r="B195" s="12"/>
      <c r="C195" s="12"/>
      <c r="D195" s="13"/>
      <c r="E195" s="12"/>
      <c r="F195" s="12"/>
      <c r="G195" s="12"/>
      <c r="H195" s="14"/>
      <c r="I195" s="15" t="str">
        <f aca="false">IF(OR(E195="",H195=""),"",E195*H195)</f>
        <v/>
      </c>
      <c r="J195" s="12"/>
    </row>
    <row r="196" customFormat="false" ht="15" hidden="false" customHeight="false" outlineLevel="0" collapsed="false">
      <c r="A196" s="12"/>
      <c r="B196" s="12"/>
      <c r="C196" s="12"/>
      <c r="D196" s="13"/>
      <c r="E196" s="12"/>
      <c r="F196" s="12"/>
      <c r="G196" s="12"/>
      <c r="H196" s="14"/>
      <c r="I196" s="15" t="str">
        <f aca="false">IF(OR(E196="",H196=""),"",E196*H196)</f>
        <v/>
      </c>
      <c r="J196" s="12"/>
    </row>
    <row r="197" customFormat="false" ht="15" hidden="false" customHeight="false" outlineLevel="0" collapsed="false">
      <c r="A197" s="12"/>
      <c r="B197" s="12"/>
      <c r="C197" s="12"/>
      <c r="D197" s="13"/>
      <c r="E197" s="12"/>
      <c r="F197" s="12"/>
      <c r="G197" s="12"/>
      <c r="H197" s="14"/>
      <c r="I197" s="15" t="str">
        <f aca="false">IF(OR(E197="",H197=""),"",E197*H197)</f>
        <v/>
      </c>
      <c r="J197" s="12"/>
    </row>
    <row r="198" customFormat="false" ht="15" hidden="false" customHeight="false" outlineLevel="0" collapsed="false">
      <c r="A198" s="12"/>
      <c r="B198" s="12"/>
      <c r="C198" s="12"/>
      <c r="D198" s="13"/>
      <c r="E198" s="12"/>
      <c r="F198" s="12"/>
      <c r="G198" s="12"/>
      <c r="H198" s="14"/>
      <c r="I198" s="15" t="str">
        <f aca="false">IF(OR(E198="",H198=""),"",E198*H198)</f>
        <v/>
      </c>
      <c r="J198" s="12"/>
    </row>
    <row r="199" customFormat="false" ht="15" hidden="false" customHeight="false" outlineLevel="0" collapsed="false">
      <c r="A199" s="12"/>
      <c r="B199" s="12"/>
      <c r="C199" s="12"/>
      <c r="D199" s="13"/>
      <c r="E199" s="12"/>
      <c r="F199" s="12"/>
      <c r="G199" s="12"/>
      <c r="H199" s="14"/>
      <c r="I199" s="15" t="str">
        <f aca="false">IF(OR(E199="",H199=""),"",E199*H199)</f>
        <v/>
      </c>
      <c r="J199" s="12"/>
    </row>
    <row r="200" customFormat="false" ht="15" hidden="false" customHeight="false" outlineLevel="0" collapsed="false">
      <c r="A200" s="12"/>
      <c r="B200" s="12"/>
      <c r="C200" s="12"/>
      <c r="D200" s="13"/>
      <c r="E200" s="12"/>
      <c r="F200" s="12"/>
      <c r="G200" s="12"/>
      <c r="H200" s="14"/>
      <c r="I200" s="15" t="str">
        <f aca="false">IF(OR(E200="",H200=""),"",E200*H200)</f>
        <v/>
      </c>
      <c r="J200" s="12"/>
    </row>
  </sheetData>
  <autoFilter ref="A1:J200"/>
  <conditionalFormatting sqref="E2:E200">
    <cfRule type="expression" priority="2" aboveAverage="0" equalAverage="0" bottom="0" percent="0" rank="0" text="" dxfId="6">
      <formula>AND(ISNUMBER($E2),$E2&lt;0)</formula>
    </cfRule>
    <cfRule type="expression" priority="3" aboveAverage="0" equalAverage="0" bottom="0" percent="0" rank="0" text="" dxfId="4">
      <formula>AND(ISNUMBER($E2),$E2=0)</formula>
    </cfRule>
  </conditionalFormatting>
  <conditionalFormatting sqref="A2:J200">
    <cfRule type="expression" priority="4" aboveAverage="0" equalAverage="0" bottom="0" percent="0" rank="0" text="" dxfId="7">
      <formula>AND(ISNUMBER($G2),ISNUMBER($E2),$E2&lt;=$G2)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6"/>
    <col collapsed="false" customWidth="true" hidden="false" outlineLevel="0" max="3" min="3" style="0" width="32"/>
    <col collapsed="false" customWidth="true" hidden="false" outlineLevel="0" max="4" min="4" style="0" width="20"/>
    <col collapsed="false" customWidth="true" hidden="false" outlineLevel="0" max="6" min="5" style="0" width="11"/>
    <col collapsed="false" customWidth="true" hidden="false" outlineLevel="0" max="7" min="7" style="0" width="16"/>
    <col collapsed="false" customWidth="true" hidden="false" outlineLevel="0" max="8" min="8" style="0" width="17"/>
    <col collapsed="false" customWidth="true" hidden="false" outlineLevel="0" max="9" min="9" style="0" width="70"/>
  </cols>
  <sheetData>
    <row r="1" customFormat="false" ht="15" hidden="false" customHeight="false" outlineLevel="0" collapsed="false">
      <c r="A1" s="16" t="s">
        <v>143</v>
      </c>
    </row>
    <row r="2" customFormat="false" ht="15" hidden="false" customHeight="false" outlineLevel="0" collapsed="false">
      <c r="A2" s="6" t="s">
        <v>144</v>
      </c>
    </row>
    <row r="4" customFormat="false" ht="15" hidden="false" customHeight="false" outlineLevel="0" collapsed="false">
      <c r="A4" s="17" t="s">
        <v>145</v>
      </c>
    </row>
    <row r="5" customFormat="false" ht="15" hidden="false" customHeight="false" outlineLevel="0" collapsed="false">
      <c r="A5" s="17" t="s">
        <v>146</v>
      </c>
      <c r="C5" s="17" t="s">
        <v>147</v>
      </c>
      <c r="E5" s="17" t="s">
        <v>148</v>
      </c>
      <c r="G5" s="17" t="s">
        <v>149</v>
      </c>
      <c r="I5" s="17" t="s">
        <v>150</v>
      </c>
    </row>
    <row r="6" customFormat="false" ht="15" hidden="false" customHeight="false" outlineLevel="0" collapsed="false">
      <c r="A6" s="18" t="n">
        <f aca="false">COUNTIF($H$10:$H$128,"Match")</f>
        <v>57</v>
      </c>
      <c r="C6" s="18" t="n">
        <f aca="false">COUNTIF($H$10:$H$128,"Physical higher")</f>
        <v>4</v>
      </c>
      <c r="E6" s="18" t="n">
        <f aca="false">COUNTIF($H$10:$H$128,"Mindbody higher")</f>
        <v>11</v>
      </c>
      <c r="G6" s="18" t="n">
        <f aca="false">COUNTIF($H$10:$H$128,"Not in Mindbody")</f>
        <v>23</v>
      </c>
      <c r="I6" s="18" t="n">
        <f aca="false">COUNTIF($H$10:$H$128,"Not counted")</f>
        <v>24</v>
      </c>
    </row>
    <row r="9" customFormat="false" ht="42" hidden="false" customHeight="true" outlineLevel="0" collapsed="false">
      <c r="A9" s="1" t="s">
        <v>151</v>
      </c>
      <c r="B9" s="1" t="s">
        <v>152</v>
      </c>
      <c r="C9" s="1" t="s">
        <v>153</v>
      </c>
      <c r="D9" s="1" t="s">
        <v>154</v>
      </c>
      <c r="E9" s="1" t="s">
        <v>155</v>
      </c>
      <c r="F9" s="1" t="s">
        <v>156</v>
      </c>
      <c r="G9" s="1" t="s">
        <v>157</v>
      </c>
      <c r="H9" s="1" t="s">
        <v>158</v>
      </c>
      <c r="I9" s="1" t="s">
        <v>159</v>
      </c>
    </row>
    <row r="10" customFormat="false" ht="23.85" hidden="false" customHeight="false" outlineLevel="0" collapsed="false">
      <c r="A10" s="2" t="s">
        <v>18</v>
      </c>
      <c r="B10" s="19" t="s">
        <v>160</v>
      </c>
      <c r="C10" s="2" t="s">
        <v>18</v>
      </c>
      <c r="D10" s="3" t="s">
        <v>24</v>
      </c>
      <c r="E10" s="4" t="n">
        <f aca="false">SUMPRODUCT((Bedaya!$B$2:$B$200="Boxing Gloves")*(Bedaya!$D$2:$D$200="2oz"),Bedaya!$E$2:$E$200)</f>
        <v>2</v>
      </c>
      <c r="F10" s="20" t="n">
        <v>2</v>
      </c>
      <c r="G10" s="4" t="n">
        <f aca="false">IF(OR(E10="",F10=""),"",E10-F10)</f>
        <v>0</v>
      </c>
      <c r="H10" s="7" t="str">
        <f aca="false">IF(E10="","Not counted",IF(F10="","Not in Mindbody",IF(E10=F10,"Match",IF(E10&gt;F10,"Physical higher","Mindbody higher"))))</f>
        <v>Match</v>
      </c>
      <c r="I10" s="10" t="s">
        <v>161</v>
      </c>
    </row>
    <row r="11" customFormat="false" ht="23.85" hidden="false" customHeight="false" outlineLevel="0" collapsed="false">
      <c r="A11" s="2" t="s">
        <v>18</v>
      </c>
      <c r="B11" s="19" t="s">
        <v>162</v>
      </c>
      <c r="C11" s="2" t="s">
        <v>18</v>
      </c>
      <c r="D11" s="3" t="s">
        <v>23</v>
      </c>
      <c r="E11" s="4" t="n">
        <f aca="false">SUMPRODUCT((Bedaya!$B$2:$B$200="Boxing Gloves")*(Bedaya!$D$2:$D$200="4oz"),Bedaya!$E$2:$E$200)</f>
        <v>3</v>
      </c>
      <c r="F11" s="20" t="n">
        <v>3</v>
      </c>
      <c r="G11" s="4" t="n">
        <f aca="false">IF(OR(E11="",F11=""),"",E11-F11)</f>
        <v>0</v>
      </c>
      <c r="H11" s="7" t="str">
        <f aca="false">IF(E11="","Not counted",IF(F11="","Not in Mindbody",IF(E11=F11,"Match",IF(E11&gt;F11,"Physical higher","Mindbody higher"))))</f>
        <v>Match</v>
      </c>
      <c r="I11" s="10" t="s">
        <v>161</v>
      </c>
    </row>
    <row r="12" customFormat="false" ht="23.85" hidden="false" customHeight="false" outlineLevel="0" collapsed="false">
      <c r="A12" s="2" t="s">
        <v>18</v>
      </c>
      <c r="B12" s="19" t="s">
        <v>163</v>
      </c>
      <c r="C12" s="2" t="s">
        <v>18</v>
      </c>
      <c r="D12" s="3" t="s">
        <v>22</v>
      </c>
      <c r="E12" s="4" t="n">
        <f aca="false">SUMPRODUCT((Bedaya!$B$2:$B$200="Boxing Gloves")*(Bedaya!$D$2:$D$200="6oz"),Bedaya!$E$2:$E$200)</f>
        <v>-1</v>
      </c>
      <c r="F12" s="20" t="n">
        <v>1</v>
      </c>
      <c r="G12" s="4" t="n">
        <f aca="false">IF(OR(E12="",F12=""),"",E12-F12)</f>
        <v>-2</v>
      </c>
      <c r="H12" s="7" t="str">
        <f aca="false">IF(E12="","Not counted",IF(F12="","Not in Mindbody",IF(E12=F12,"Match",IF(E12&gt;F12,"Physical higher","Mindbody higher"))))</f>
        <v>Mindbody higher</v>
      </c>
      <c r="I12" s="10" t="s">
        <v>161</v>
      </c>
    </row>
    <row r="13" customFormat="false" ht="23.85" hidden="false" customHeight="false" outlineLevel="0" collapsed="false">
      <c r="A13" s="2" t="s">
        <v>18</v>
      </c>
      <c r="B13" s="19" t="s">
        <v>164</v>
      </c>
      <c r="C13" s="2" t="s">
        <v>18</v>
      </c>
      <c r="D13" s="3" t="s">
        <v>21</v>
      </c>
      <c r="E13" s="4" t="n">
        <f aca="false">SUMPRODUCT((Bedaya!$B$2:$B$200="Boxing Gloves")*(Bedaya!$D$2:$D$200="8oz"),Bedaya!$E$2:$E$200)</f>
        <v>1</v>
      </c>
      <c r="F13" s="20" t="n">
        <v>3</v>
      </c>
      <c r="G13" s="4" t="n">
        <f aca="false">IF(OR(E13="",F13=""),"",E13-F13)</f>
        <v>-2</v>
      </c>
      <c r="H13" s="7" t="str">
        <f aca="false">IF(E13="","Not counted",IF(F13="","Not in Mindbody",IF(E13=F13,"Match",IF(E13&gt;F13,"Physical higher","Mindbody higher"))))</f>
        <v>Mindbody higher</v>
      </c>
      <c r="I13" s="10" t="s">
        <v>161</v>
      </c>
    </row>
    <row r="14" customFormat="false" ht="23.85" hidden="false" customHeight="false" outlineLevel="0" collapsed="false">
      <c r="A14" s="2" t="s">
        <v>18</v>
      </c>
      <c r="B14" s="19" t="s">
        <v>165</v>
      </c>
      <c r="C14" s="2" t="s">
        <v>18</v>
      </c>
      <c r="D14" s="3" t="s">
        <v>20</v>
      </c>
      <c r="E14" s="4" t="n">
        <f aca="false">SUMPRODUCT((Bedaya!$B$2:$B$200="Boxing Gloves")*(Bedaya!$D$2:$D$200="10oz"),Bedaya!$E$2:$E$200)</f>
        <v>0</v>
      </c>
      <c r="F14" s="20" t="n">
        <v>2</v>
      </c>
      <c r="G14" s="4" t="n">
        <f aca="false">IF(OR(E14="",F14=""),"",E14-F14)</f>
        <v>-2</v>
      </c>
      <c r="H14" s="7" t="str">
        <f aca="false">IF(E14="","Not counted",IF(F14="","Not in Mindbody",IF(E14=F14,"Match",IF(E14&gt;F14,"Physical higher","Mindbody higher"))))</f>
        <v>Mindbody higher</v>
      </c>
      <c r="I14" s="10" t="s">
        <v>161</v>
      </c>
    </row>
    <row r="15" customFormat="false" ht="35.05" hidden="false" customHeight="false" outlineLevel="0" collapsed="false">
      <c r="A15" s="2" t="s">
        <v>18</v>
      </c>
      <c r="B15" s="19" t="s">
        <v>166</v>
      </c>
      <c r="C15" s="2" t="s">
        <v>18</v>
      </c>
      <c r="D15" s="3" t="s">
        <v>19</v>
      </c>
      <c r="E15" s="4" t="n">
        <f aca="false">SUMPRODUCT((Bedaya!$B$2:$B$200="Boxing Gloves")*(Bedaya!$D$2:$D$200="12oz"),Bedaya!$E$2:$E$200)</f>
        <v>0</v>
      </c>
      <c r="F15" s="20" t="n">
        <v>11</v>
      </c>
      <c r="G15" s="4" t="n">
        <f aca="false">IF(OR(E15="",F15=""),"",E15-F15)</f>
        <v>-11</v>
      </c>
      <c r="H15" s="7" t="str">
        <f aca="false">IF(E15="","Not counted",IF(F15="","Not in Mindbody",IF(E15=F15,"Match",IF(E15&gt;F15,"Physical higher","Mindbody higher"))))</f>
        <v>Mindbody higher</v>
      </c>
      <c r="I15" s="10" t="s">
        <v>167</v>
      </c>
    </row>
    <row r="16" customFormat="false" ht="15" hidden="false" customHeight="false" outlineLevel="0" collapsed="false">
      <c r="A16" s="2" t="s">
        <v>168</v>
      </c>
      <c r="B16" s="19" t="s">
        <v>169</v>
      </c>
      <c r="C16" s="2"/>
      <c r="D16" s="3"/>
      <c r="E16" s="4"/>
      <c r="F16" s="20" t="n">
        <v>16</v>
      </c>
      <c r="G16" s="4" t="str">
        <f aca="false">IF(OR(E16="",F16=""),"",E16-F16)</f>
        <v/>
      </c>
      <c r="H16" s="7" t="str">
        <f aca="false">IF(E16="","Not counted",IF(F16="","Not in Mindbody",IF(E16=F16,"Match",IF(E16&gt;F16,"Physical higher","Mindbody higher"))))</f>
        <v>Not counted</v>
      </c>
      <c r="I16" s="10" t="s">
        <v>170</v>
      </c>
    </row>
    <row r="17" customFormat="false" ht="15" hidden="false" customHeight="false" outlineLevel="0" collapsed="false">
      <c r="A17" s="2" t="s">
        <v>171</v>
      </c>
      <c r="B17" s="19" t="s">
        <v>172</v>
      </c>
      <c r="C17" s="2" t="s">
        <v>67</v>
      </c>
      <c r="D17" s="3" t="s">
        <v>27</v>
      </c>
      <c r="E17" s="4" t="n">
        <f aca="false">SUMPRODUCT((Bedaya!$B$2:$B$200="Backpack with Elite Logo")*(Bedaya!$D$2:$D$200="-"),Bedaya!$E$2:$E$200)</f>
        <v>9</v>
      </c>
      <c r="F17" s="20" t="n">
        <v>9</v>
      </c>
      <c r="G17" s="4" t="n">
        <f aca="false">IF(OR(E17="",F17=""),"",E17-F17)</f>
        <v>0</v>
      </c>
      <c r="H17" s="7" t="str">
        <f aca="false">IF(E17="","Not counted",IF(F17="","Not in Mindbody",IF(E17=F17,"Match",IF(E17&gt;F17,"Physical higher","Mindbody higher"))))</f>
        <v>Match</v>
      </c>
      <c r="I17" s="10"/>
    </row>
    <row r="18" customFormat="false" ht="15" hidden="false" customHeight="false" outlineLevel="0" collapsed="false">
      <c r="A18" s="2" t="s">
        <v>173</v>
      </c>
      <c r="B18" s="19" t="s">
        <v>174</v>
      </c>
      <c r="C18" s="2"/>
      <c r="D18" s="3"/>
      <c r="E18" s="4"/>
      <c r="F18" s="20" t="n">
        <v>1</v>
      </c>
      <c r="G18" s="4" t="str">
        <f aca="false">IF(OR(E18="",F18=""),"",E18-F18)</f>
        <v/>
      </c>
      <c r="H18" s="7" t="str">
        <f aca="false">IF(E18="","Not counted",IF(F18="","Not in Mindbody",IF(E18=F18,"Match",IF(E18&gt;F18,"Physical higher","Mindbody higher"))))</f>
        <v>Not counted</v>
      </c>
      <c r="I18" s="10" t="s">
        <v>170</v>
      </c>
    </row>
    <row r="19" customFormat="false" ht="15" hidden="false" customHeight="false" outlineLevel="0" collapsed="false">
      <c r="A19" s="2" t="s">
        <v>175</v>
      </c>
      <c r="B19" s="19" t="s">
        <v>169</v>
      </c>
      <c r="C19" s="2"/>
      <c r="D19" s="3"/>
      <c r="E19" s="4"/>
      <c r="F19" s="20" t="n">
        <v>7</v>
      </c>
      <c r="G19" s="4" t="str">
        <f aca="false">IF(OR(E19="",F19=""),"",E19-F19)</f>
        <v/>
      </c>
      <c r="H19" s="7" t="str">
        <f aca="false">IF(E19="","Not counted",IF(F19="","Not in Mindbody",IF(E19=F19,"Match",IF(E19&gt;F19,"Physical higher","Mindbody higher"))))</f>
        <v>Not counted</v>
      </c>
      <c r="I19" s="10" t="s">
        <v>170</v>
      </c>
    </row>
    <row r="20" customFormat="false" ht="15" hidden="false" customHeight="false" outlineLevel="0" collapsed="false">
      <c r="A20" s="2" t="s">
        <v>176</v>
      </c>
      <c r="B20" s="19" t="s">
        <v>177</v>
      </c>
      <c r="C20" s="2" t="s">
        <v>62</v>
      </c>
      <c r="D20" s="3" t="s">
        <v>66</v>
      </c>
      <c r="E20" s="4" t="n">
        <f aca="false">SUMPRODUCT((Bedaya!$B$2:$B$200="White T-shirt (Elite)")*(Bedaya!$D$2:$D$200="3/4"),Bedaya!$E$2:$E$200)</f>
        <v>7</v>
      </c>
      <c r="F20" s="20" t="n">
        <v>7</v>
      </c>
      <c r="G20" s="4" t="n">
        <f aca="false">IF(OR(E20="",F20=""),"",E20-F20)</f>
        <v>0</v>
      </c>
      <c r="H20" s="7" t="str">
        <f aca="false">IF(E20="","Not counted",IF(F20="","Not in Mindbody",IF(E20=F20,"Match",IF(E20&gt;F20,"Physical higher","Mindbody higher"))))</f>
        <v>Match</v>
      </c>
      <c r="I20" s="10"/>
    </row>
    <row r="21" customFormat="false" ht="15" hidden="false" customHeight="false" outlineLevel="0" collapsed="false">
      <c r="A21" s="2" t="s">
        <v>176</v>
      </c>
      <c r="B21" s="19" t="s">
        <v>178</v>
      </c>
      <c r="C21" s="2" t="s">
        <v>62</v>
      </c>
      <c r="D21" s="3" t="s">
        <v>65</v>
      </c>
      <c r="E21" s="4" t="n">
        <f aca="false">SUMPRODUCT((Bedaya!$B$2:$B$200="White T-shirt (Elite)")*(Bedaya!$D$2:$D$200="5/6"),Bedaya!$E$2:$E$200)</f>
        <v>9</v>
      </c>
      <c r="F21" s="20" t="n">
        <v>9</v>
      </c>
      <c r="G21" s="4" t="n">
        <f aca="false">IF(OR(E21="",F21=""),"",E21-F21)</f>
        <v>0</v>
      </c>
      <c r="H21" s="7" t="str">
        <f aca="false">IF(E21="","Not counted",IF(F21="","Not in Mindbody",IF(E21=F21,"Match",IF(E21&gt;F21,"Physical higher","Mindbody higher"))))</f>
        <v>Match</v>
      </c>
      <c r="I21" s="10"/>
    </row>
    <row r="22" customFormat="false" ht="15" hidden="false" customHeight="false" outlineLevel="0" collapsed="false">
      <c r="A22" s="2" t="s">
        <v>176</v>
      </c>
      <c r="B22" s="19" t="s">
        <v>179</v>
      </c>
      <c r="C22" s="2" t="s">
        <v>62</v>
      </c>
      <c r="D22" s="3" t="s">
        <v>64</v>
      </c>
      <c r="E22" s="4" t="n">
        <f aca="false">SUMPRODUCT((Bedaya!$B$2:$B$200="White T-shirt (Elite)")*(Bedaya!$D$2:$D$200="11/12"),Bedaya!$E$2:$E$200)</f>
        <v>3</v>
      </c>
      <c r="F22" s="20" t="n">
        <v>3</v>
      </c>
      <c r="G22" s="4" t="n">
        <f aca="false">IF(OR(E22="",F22=""),"",E22-F22)</f>
        <v>0</v>
      </c>
      <c r="H22" s="7" t="str">
        <f aca="false">IF(E22="","Not counted",IF(F22="","Not in Mindbody",IF(E22=F22,"Match",IF(E22&gt;F22,"Physical higher","Mindbody higher"))))</f>
        <v>Match</v>
      </c>
      <c r="I22" s="10"/>
    </row>
    <row r="23" customFormat="false" ht="15" hidden="false" customHeight="false" outlineLevel="0" collapsed="false">
      <c r="A23" s="2" t="s">
        <v>176</v>
      </c>
      <c r="B23" s="19" t="s">
        <v>180</v>
      </c>
      <c r="C23" s="2" t="s">
        <v>62</v>
      </c>
      <c r="D23" s="3" t="s">
        <v>63</v>
      </c>
      <c r="E23" s="4" t="n">
        <f aca="false">SUMPRODUCT((Bedaya!$B$2:$B$200="White T-shirt (Elite)")*(Bedaya!$D$2:$D$200="13/14"),Bedaya!$E$2:$E$200)</f>
        <v>4</v>
      </c>
      <c r="F23" s="20" t="n">
        <v>4</v>
      </c>
      <c r="G23" s="4" t="n">
        <f aca="false">IF(OR(E23="",F23=""),"",E23-F23)</f>
        <v>0</v>
      </c>
      <c r="H23" s="7" t="str">
        <f aca="false">IF(E23="","Not counted",IF(F23="","Not in Mindbody",IF(E23=F23,"Match",IF(E23&gt;F23,"Physical higher","Mindbody higher"))))</f>
        <v>Match</v>
      </c>
      <c r="I23" s="10"/>
    </row>
    <row r="24" customFormat="false" ht="15" hidden="false" customHeight="false" outlineLevel="0" collapsed="false">
      <c r="A24" s="2" t="s">
        <v>176</v>
      </c>
      <c r="B24" s="19" t="s">
        <v>174</v>
      </c>
      <c r="C24" s="2" t="s">
        <v>68</v>
      </c>
      <c r="D24" s="3" t="s">
        <v>17</v>
      </c>
      <c r="E24" s="4" t="n">
        <f aca="false">SUMPRODUCT((Bedaya!$B$2:$B$200="Students' Elite T-shirt (White)")*(Bedaya!$D$2:$D$200="L"),Bedaya!$E$2:$E$200)</f>
        <v>6</v>
      </c>
      <c r="F24" s="20" t="n">
        <v>6</v>
      </c>
      <c r="G24" s="4" t="n">
        <f aca="false">IF(OR(E24="",F24=""),"",E24-F24)</f>
        <v>0</v>
      </c>
      <c r="H24" s="7" t="str">
        <f aca="false">IF(E24="","Not counted",IF(F24="","Not in Mindbody",IF(E24=F24,"Match",IF(E24&gt;F24,"Physical higher","Mindbody higher"))))</f>
        <v>Match</v>
      </c>
      <c r="I24" s="10"/>
    </row>
    <row r="25" customFormat="false" ht="15" hidden="false" customHeight="false" outlineLevel="0" collapsed="false">
      <c r="A25" s="2" t="s">
        <v>176</v>
      </c>
      <c r="B25" s="19" t="s">
        <v>181</v>
      </c>
      <c r="C25" s="2" t="s">
        <v>68</v>
      </c>
      <c r="D25" s="3" t="s">
        <v>13</v>
      </c>
      <c r="E25" s="4" t="n">
        <f aca="false">SUMPRODUCT((Bedaya!$B$2:$B$200="Students' Elite T-shirt (White)")*(Bedaya!$D$2:$D$200="M"),Bedaya!$E$2:$E$200)</f>
        <v>1</v>
      </c>
      <c r="F25" s="20" t="n">
        <v>1</v>
      </c>
      <c r="G25" s="4" t="n">
        <f aca="false">IF(OR(E25="",F25=""),"",E25-F25)</f>
        <v>0</v>
      </c>
      <c r="H25" s="7" t="str">
        <f aca="false">IF(E25="","Not counted",IF(F25="","Not in Mindbody",IF(E25=F25,"Match",IF(E25&gt;F25,"Physical higher","Mindbody higher"))))</f>
        <v>Match</v>
      </c>
      <c r="I25" s="10"/>
    </row>
    <row r="26" customFormat="false" ht="15" hidden="false" customHeight="false" outlineLevel="0" collapsed="false">
      <c r="A26" s="2" t="s">
        <v>176</v>
      </c>
      <c r="B26" s="19" t="s">
        <v>182</v>
      </c>
      <c r="C26" s="2"/>
      <c r="D26" s="3"/>
      <c r="E26" s="4"/>
      <c r="F26" s="20" t="n">
        <v>2</v>
      </c>
      <c r="G26" s="4" t="str">
        <f aca="false">IF(OR(E26="",F26=""),"",E26-F26)</f>
        <v/>
      </c>
      <c r="H26" s="7" t="str">
        <f aca="false">IF(E26="","Not counted",IF(F26="","Not in Mindbody",IF(E26=F26,"Match",IF(E26&gt;F26,"Physical higher","Mindbody higher"))))</f>
        <v>Not counted</v>
      </c>
      <c r="I26" s="10" t="s">
        <v>170</v>
      </c>
    </row>
    <row r="27" customFormat="false" ht="15" hidden="false" customHeight="false" outlineLevel="0" collapsed="false">
      <c r="A27" s="2" t="s">
        <v>176</v>
      </c>
      <c r="B27" s="19" t="s">
        <v>183</v>
      </c>
      <c r="C27" s="2"/>
      <c r="D27" s="3"/>
      <c r="E27" s="4"/>
      <c r="F27" s="20" t="n">
        <v>-3</v>
      </c>
      <c r="G27" s="4" t="str">
        <f aca="false">IF(OR(E27="",F27=""),"",E27-F27)</f>
        <v/>
      </c>
      <c r="H27" s="7" t="str">
        <f aca="false">IF(E27="","Not counted",IF(F27="","Not in Mindbody",IF(E27=F27,"Match",IF(E27&gt;F27,"Physical higher","Mindbody higher"))))</f>
        <v>Not counted</v>
      </c>
      <c r="I27" s="10" t="s">
        <v>184</v>
      </c>
    </row>
    <row r="28" customFormat="false" ht="15" hidden="false" customHeight="false" outlineLevel="0" collapsed="false">
      <c r="A28" s="2" t="s">
        <v>185</v>
      </c>
      <c r="B28" s="19" t="s">
        <v>169</v>
      </c>
      <c r="C28" s="2"/>
      <c r="D28" s="3"/>
      <c r="E28" s="4"/>
      <c r="F28" s="20" t="n">
        <v>-1</v>
      </c>
      <c r="G28" s="4" t="str">
        <f aca="false">IF(OR(E28="",F28=""),"",E28-F28)</f>
        <v/>
      </c>
      <c r="H28" s="7" t="str">
        <f aca="false">IF(E28="","Not counted",IF(F28="","Not in Mindbody",IF(E28=F28,"Match",IF(E28&gt;F28,"Physical higher","Mindbody higher"))))</f>
        <v>Not counted</v>
      </c>
      <c r="I28" s="10" t="s">
        <v>186</v>
      </c>
    </row>
    <row r="29" customFormat="false" ht="15" hidden="false" customHeight="false" outlineLevel="0" collapsed="false">
      <c r="A29" s="2" t="s">
        <v>187</v>
      </c>
      <c r="B29" s="19" t="s">
        <v>188</v>
      </c>
      <c r="C29" s="2"/>
      <c r="D29" s="3"/>
      <c r="E29" s="4"/>
      <c r="F29" s="20" t="n">
        <v>1</v>
      </c>
      <c r="G29" s="4" t="str">
        <f aca="false">IF(OR(E29="",F29=""),"",E29-F29)</f>
        <v/>
      </c>
      <c r="H29" s="7" t="str">
        <f aca="false">IF(E29="","Not counted",IF(F29="","Not in Mindbody",IF(E29=F29,"Match",IF(E29&gt;F29,"Physical higher","Mindbody higher"))))</f>
        <v>Not counted</v>
      </c>
      <c r="I29" s="10" t="s">
        <v>170</v>
      </c>
    </row>
    <row r="30" customFormat="false" ht="15" hidden="false" customHeight="false" outlineLevel="0" collapsed="false">
      <c r="A30" s="2" t="s">
        <v>187</v>
      </c>
      <c r="B30" s="19" t="s">
        <v>189</v>
      </c>
      <c r="C30" s="2"/>
      <c r="D30" s="3"/>
      <c r="E30" s="4"/>
      <c r="F30" s="20" t="n">
        <v>16</v>
      </c>
      <c r="G30" s="4" t="str">
        <f aca="false">IF(OR(E30="",F30=""),"",E30-F30)</f>
        <v/>
      </c>
      <c r="H30" s="7" t="str">
        <f aca="false">IF(E30="","Not counted",IF(F30="","Not in Mindbody",IF(E30=F30,"Match",IF(E30&gt;F30,"Physical higher","Mindbody higher"))))</f>
        <v>Not counted</v>
      </c>
      <c r="I30" s="10" t="s">
        <v>170</v>
      </c>
    </row>
    <row r="31" customFormat="false" ht="15" hidden="false" customHeight="false" outlineLevel="0" collapsed="false">
      <c r="A31" s="2" t="s">
        <v>187</v>
      </c>
      <c r="B31" s="19" t="s">
        <v>190</v>
      </c>
      <c r="C31" s="2"/>
      <c r="D31" s="3"/>
      <c r="E31" s="4"/>
      <c r="F31" s="20" t="n">
        <v>7</v>
      </c>
      <c r="G31" s="4" t="str">
        <f aca="false">IF(OR(E31="",F31=""),"",E31-F31)</f>
        <v/>
      </c>
      <c r="H31" s="7" t="str">
        <f aca="false">IF(E31="","Not counted",IF(F31="","Not in Mindbody",IF(E31=F31,"Match",IF(E31&gt;F31,"Physical higher","Mindbody higher"))))</f>
        <v>Not counted</v>
      </c>
      <c r="I31" s="10" t="s">
        <v>170</v>
      </c>
    </row>
    <row r="32" customFormat="false" ht="15" hidden="false" customHeight="false" outlineLevel="0" collapsed="false">
      <c r="A32" s="2" t="s">
        <v>187</v>
      </c>
      <c r="B32" s="19" t="s">
        <v>191</v>
      </c>
      <c r="C32" s="2"/>
      <c r="D32" s="3"/>
      <c r="E32" s="4"/>
      <c r="F32" s="20" t="n">
        <v>16</v>
      </c>
      <c r="G32" s="4" t="str">
        <f aca="false">IF(OR(E32="",F32=""),"",E32-F32)</f>
        <v/>
      </c>
      <c r="H32" s="7" t="str">
        <f aca="false">IF(E32="","Not counted",IF(F32="","Not in Mindbody",IF(E32=F32,"Match",IF(E32&gt;F32,"Physical higher","Mindbody higher"))))</f>
        <v>Not counted</v>
      </c>
      <c r="I32" s="10" t="s">
        <v>170</v>
      </c>
    </row>
    <row r="33" customFormat="false" ht="15" hidden="false" customHeight="false" outlineLevel="0" collapsed="false">
      <c r="A33" s="2" t="s">
        <v>187</v>
      </c>
      <c r="B33" s="19" t="s">
        <v>87</v>
      </c>
      <c r="C33" s="2"/>
      <c r="D33" s="3"/>
      <c r="E33" s="4"/>
      <c r="F33" s="20" t="n">
        <v>25</v>
      </c>
      <c r="G33" s="4" t="str">
        <f aca="false">IF(OR(E33="",F33=""),"",E33-F33)</f>
        <v/>
      </c>
      <c r="H33" s="7" t="str">
        <f aca="false">IF(E33="","Not counted",IF(F33="","Not in Mindbody",IF(E33=F33,"Match",IF(E33&gt;F33,"Physical higher","Mindbody higher"))))</f>
        <v>Not counted</v>
      </c>
      <c r="I33" s="10" t="s">
        <v>170</v>
      </c>
    </row>
    <row r="34" customFormat="false" ht="15" hidden="false" customHeight="false" outlineLevel="0" collapsed="false">
      <c r="A34" s="2" t="s">
        <v>187</v>
      </c>
      <c r="B34" s="19" t="s">
        <v>192</v>
      </c>
      <c r="C34" s="2"/>
      <c r="D34" s="3"/>
      <c r="E34" s="4"/>
      <c r="F34" s="20" t="n">
        <v>31</v>
      </c>
      <c r="G34" s="4" t="str">
        <f aca="false">IF(OR(E34="",F34=""),"",E34-F34)</f>
        <v/>
      </c>
      <c r="H34" s="7" t="str">
        <f aca="false">IF(E34="","Not counted",IF(F34="","Not in Mindbody",IF(E34=F34,"Match",IF(E34&gt;F34,"Physical higher","Mindbody higher"))))</f>
        <v>Not counted</v>
      </c>
      <c r="I34" s="10" t="s">
        <v>170</v>
      </c>
    </row>
    <row r="35" customFormat="false" ht="15" hidden="false" customHeight="false" outlineLevel="0" collapsed="false">
      <c r="A35" s="2" t="s">
        <v>187</v>
      </c>
      <c r="B35" s="19" t="s">
        <v>193</v>
      </c>
      <c r="C35" s="2"/>
      <c r="D35" s="3"/>
      <c r="E35" s="4"/>
      <c r="F35" s="20" t="n">
        <v>21</v>
      </c>
      <c r="G35" s="4" t="str">
        <f aca="false">IF(OR(E35="",F35=""),"",E35-F35)</f>
        <v/>
      </c>
      <c r="H35" s="7" t="str">
        <f aca="false">IF(E35="","Not counted",IF(F35="","Not in Mindbody",IF(E35=F35,"Match",IF(E35&gt;F35,"Physical higher","Mindbody higher"))))</f>
        <v>Not counted</v>
      </c>
      <c r="I35" s="10" t="s">
        <v>170</v>
      </c>
    </row>
    <row r="36" customFormat="false" ht="15" hidden="false" customHeight="false" outlineLevel="0" collapsed="false">
      <c r="A36" s="2" t="s">
        <v>187</v>
      </c>
      <c r="B36" s="19" t="s">
        <v>194</v>
      </c>
      <c r="C36" s="2"/>
      <c r="D36" s="3"/>
      <c r="E36" s="4"/>
      <c r="F36" s="20" t="n">
        <v>20</v>
      </c>
      <c r="G36" s="4" t="str">
        <f aca="false">IF(OR(E36="",F36=""),"",E36-F36)</f>
        <v/>
      </c>
      <c r="H36" s="7" t="str">
        <f aca="false">IF(E36="","Not counted",IF(F36="","Not in Mindbody",IF(E36=F36,"Match",IF(E36&gt;F36,"Physical higher","Mindbody higher"))))</f>
        <v>Not counted</v>
      </c>
      <c r="I36" s="10" t="s">
        <v>170</v>
      </c>
    </row>
    <row r="37" customFormat="false" ht="15" hidden="false" customHeight="false" outlineLevel="0" collapsed="false">
      <c r="A37" s="2" t="s">
        <v>195</v>
      </c>
      <c r="B37" s="19" t="s">
        <v>196</v>
      </c>
      <c r="C37" s="2" t="s">
        <v>69</v>
      </c>
      <c r="D37" s="3" t="s">
        <v>16</v>
      </c>
      <c r="E37" s="4" t="n">
        <f aca="false">SUMPRODUCT((Bedaya!$B$2:$B$200="Instructor T-shirt (Elite Logo)")*(Bedaya!$D$2:$D$200="XL"),Bedaya!$E$2:$E$200)</f>
        <v>3</v>
      </c>
      <c r="F37" s="20"/>
      <c r="G37" s="4" t="str">
        <f aca="false">IF(OR(E37="",F37=""),"",E37-F37)</f>
        <v/>
      </c>
      <c r="H37" s="7" t="str">
        <f aca="false">IF(E37="","Not counted",IF(F37="","Not in Mindbody",IF(E37=F37,"Match",IF(E37&gt;F37,"Physical higher","Mindbody higher"))))</f>
        <v>Not in Mindbody</v>
      </c>
      <c r="I37" s="10" t="s">
        <v>197</v>
      </c>
    </row>
    <row r="38" customFormat="false" ht="15" hidden="false" customHeight="false" outlineLevel="0" collapsed="false">
      <c r="A38" s="2" t="s">
        <v>195</v>
      </c>
      <c r="B38" s="19" t="s">
        <v>196</v>
      </c>
      <c r="C38" s="2" t="s">
        <v>69</v>
      </c>
      <c r="D38" s="3" t="s">
        <v>17</v>
      </c>
      <c r="E38" s="4" t="n">
        <f aca="false">SUMPRODUCT((Bedaya!$B$2:$B$200="Instructor T-shirt (Elite Logo)")*(Bedaya!$D$2:$D$200="L"),Bedaya!$E$2:$E$200)</f>
        <v>1</v>
      </c>
      <c r="F38" s="20"/>
      <c r="G38" s="4" t="str">
        <f aca="false">IF(OR(E38="",F38=""),"",E38-F38)</f>
        <v/>
      </c>
      <c r="H38" s="7" t="str">
        <f aca="false">IF(E38="","Not counted",IF(F38="","Not in Mindbody",IF(E38=F38,"Match",IF(E38&gt;F38,"Physical higher","Mindbody higher"))))</f>
        <v>Not in Mindbody</v>
      </c>
      <c r="I38" s="10" t="s">
        <v>197</v>
      </c>
    </row>
    <row r="39" customFormat="false" ht="23.85" hidden="false" customHeight="false" outlineLevel="0" collapsed="false">
      <c r="A39" s="2" t="s">
        <v>198</v>
      </c>
      <c r="B39" s="19" t="s">
        <v>199</v>
      </c>
      <c r="C39" s="2" t="s">
        <v>200</v>
      </c>
      <c r="D39" s="3" t="s">
        <v>201</v>
      </c>
      <c r="E39" s="4" t="n">
        <f aca="false">SUMPRODUCT((Bedaya!$B$2:$B$200="Kajukimbo Patch - Circle (Front)")*(Bedaya!$D$2:$D$200="-"),Bedaya!$E$2:$E$200)+SUMPRODUCT((Bedaya!$B$2:$B$200="Kajukimbo Patch - Shoulder")*(Bedaya!$D$2:$D$200="-"),Bedaya!$E$2:$E$200)</f>
        <v>51</v>
      </c>
      <c r="F39" s="20" t="n">
        <v>62</v>
      </c>
      <c r="G39" s="4" t="n">
        <f aca="false">IF(OR(E39="",F39=""),"",E39-F39)</f>
        <v>-11</v>
      </c>
      <c r="H39" s="7" t="str">
        <f aca="false">IF(E39="","Not counted",IF(F39="","Not in Mindbody",IF(E39=F39,"Match",IF(E39&gt;F39,"Physical higher","Mindbody higher"))))</f>
        <v>Mindbody higher</v>
      </c>
      <c r="I39" s="10" t="s">
        <v>202</v>
      </c>
    </row>
    <row r="40" customFormat="false" ht="15" hidden="false" customHeight="false" outlineLevel="0" collapsed="false">
      <c r="A40" s="2" t="s">
        <v>203</v>
      </c>
      <c r="B40" s="19" t="s">
        <v>204</v>
      </c>
      <c r="C40" s="2" t="s">
        <v>34</v>
      </c>
      <c r="D40" s="3" t="s">
        <v>46</v>
      </c>
      <c r="E40" s="4" t="n">
        <f aca="false">SUMPRODUCT((Bedaya!$B$2:$B$200="Kajukimbo Uniform")*(Bedaya!$D$2:$D$200="100cm"),Bedaya!$E$2:$E$200)</f>
        <v>5</v>
      </c>
      <c r="F40" s="20" t="n">
        <v>5</v>
      </c>
      <c r="G40" s="4" t="n">
        <f aca="false">IF(OR(E40="",F40=""),"",E40-F40)</f>
        <v>0</v>
      </c>
      <c r="H40" s="7" t="str">
        <f aca="false">IF(E40="","Not counted",IF(F40="","Not in Mindbody",IF(E40=F40,"Match",IF(E40&gt;F40,"Physical higher","Mindbody higher"))))</f>
        <v>Match</v>
      </c>
      <c r="I40" s="10"/>
    </row>
    <row r="41" customFormat="false" ht="15" hidden="false" customHeight="false" outlineLevel="0" collapsed="false">
      <c r="A41" s="2" t="s">
        <v>203</v>
      </c>
      <c r="B41" s="19" t="s">
        <v>205</v>
      </c>
      <c r="C41" s="2" t="s">
        <v>34</v>
      </c>
      <c r="D41" s="3" t="s">
        <v>45</v>
      </c>
      <c r="E41" s="4" t="n">
        <f aca="false">SUMPRODUCT((Bedaya!$B$2:$B$200="Kajukimbo Uniform")*(Bedaya!$D$2:$D$200="110cm"),Bedaya!$E$2:$E$200)</f>
        <v>4</v>
      </c>
      <c r="F41" s="20" t="n">
        <v>4</v>
      </c>
      <c r="G41" s="4" t="n">
        <f aca="false">IF(OR(E41="",F41=""),"",E41-F41)</f>
        <v>0</v>
      </c>
      <c r="H41" s="7" t="str">
        <f aca="false">IF(E41="","Not counted",IF(F41="","Not in Mindbody",IF(E41=F41,"Match",IF(E41&gt;F41,"Physical higher","Mindbody higher"))))</f>
        <v>Match</v>
      </c>
      <c r="I41" s="10"/>
    </row>
    <row r="42" customFormat="false" ht="15" hidden="false" customHeight="false" outlineLevel="0" collapsed="false">
      <c r="A42" s="2" t="s">
        <v>203</v>
      </c>
      <c r="B42" s="19" t="s">
        <v>206</v>
      </c>
      <c r="C42" s="2" t="s">
        <v>34</v>
      </c>
      <c r="D42" s="3" t="s">
        <v>44</v>
      </c>
      <c r="E42" s="4" t="n">
        <f aca="false">SUMPRODUCT((Bedaya!$B$2:$B$200="Kajukimbo Uniform")*(Bedaya!$D$2:$D$200="120cm"),Bedaya!$E$2:$E$200)</f>
        <v>0</v>
      </c>
      <c r="F42" s="20" t="n">
        <v>0</v>
      </c>
      <c r="G42" s="4" t="n">
        <f aca="false">IF(OR(E42="",F42=""),"",E42-F42)</f>
        <v>0</v>
      </c>
      <c r="H42" s="7" t="str">
        <f aca="false">IF(E42="","Not counted",IF(F42="","Not in Mindbody",IF(E42=F42,"Match",IF(E42&gt;F42,"Physical higher","Mindbody higher"))))</f>
        <v>Match</v>
      </c>
      <c r="I42" s="10"/>
    </row>
    <row r="43" customFormat="false" ht="15" hidden="false" customHeight="false" outlineLevel="0" collapsed="false">
      <c r="A43" s="2" t="s">
        <v>203</v>
      </c>
      <c r="B43" s="19" t="s">
        <v>207</v>
      </c>
      <c r="C43" s="2" t="s">
        <v>34</v>
      </c>
      <c r="D43" s="3" t="s">
        <v>43</v>
      </c>
      <c r="E43" s="4" t="n">
        <f aca="false">SUMPRODUCT((Bedaya!$B$2:$B$200="Kajukimbo Uniform")*(Bedaya!$D$2:$D$200="130cm"),Bedaya!$E$2:$E$200)</f>
        <v>1</v>
      </c>
      <c r="F43" s="20" t="n">
        <v>1</v>
      </c>
      <c r="G43" s="4" t="n">
        <f aca="false">IF(OR(E43="",F43=""),"",E43-F43)</f>
        <v>0</v>
      </c>
      <c r="H43" s="7" t="str">
        <f aca="false">IF(E43="","Not counted",IF(F43="","Not in Mindbody",IF(E43=F43,"Match",IF(E43&gt;F43,"Physical higher","Mindbody higher"))))</f>
        <v>Match</v>
      </c>
      <c r="I43" s="10"/>
    </row>
    <row r="44" customFormat="false" ht="15" hidden="false" customHeight="false" outlineLevel="0" collapsed="false">
      <c r="A44" s="2" t="s">
        <v>203</v>
      </c>
      <c r="B44" s="19" t="s">
        <v>208</v>
      </c>
      <c r="C44" s="2" t="s">
        <v>34</v>
      </c>
      <c r="D44" s="3" t="s">
        <v>42</v>
      </c>
      <c r="E44" s="4" t="n">
        <f aca="false">SUMPRODUCT((Bedaya!$B$2:$B$200="Kajukimbo Uniform")*(Bedaya!$D$2:$D$200="140cm"),Bedaya!$E$2:$E$200)</f>
        <v>3</v>
      </c>
      <c r="F44" s="20" t="n">
        <v>3</v>
      </c>
      <c r="G44" s="4" t="n">
        <f aca="false">IF(OR(E44="",F44=""),"",E44-F44)</f>
        <v>0</v>
      </c>
      <c r="H44" s="7" t="str">
        <f aca="false">IF(E44="","Not counted",IF(F44="","Not in Mindbody",IF(E44=F44,"Match",IF(E44&gt;F44,"Physical higher","Mindbody higher"))))</f>
        <v>Match</v>
      </c>
      <c r="I44" s="10"/>
    </row>
    <row r="45" customFormat="false" ht="15" hidden="false" customHeight="false" outlineLevel="0" collapsed="false">
      <c r="A45" s="2" t="s">
        <v>203</v>
      </c>
      <c r="B45" s="19" t="s">
        <v>209</v>
      </c>
      <c r="C45" s="2" t="s">
        <v>34</v>
      </c>
      <c r="D45" s="3" t="s">
        <v>41</v>
      </c>
      <c r="E45" s="4" t="n">
        <f aca="false">SUMPRODUCT((Bedaya!$B$2:$B$200="Kajukimbo Uniform")*(Bedaya!$D$2:$D$200="150cm"),Bedaya!$E$2:$E$200)</f>
        <v>3</v>
      </c>
      <c r="F45" s="20" t="n">
        <v>3</v>
      </c>
      <c r="G45" s="4" t="n">
        <f aca="false">IF(OR(E45="",F45=""),"",E45-F45)</f>
        <v>0</v>
      </c>
      <c r="H45" s="7" t="str">
        <f aca="false">IF(E45="","Not counted",IF(F45="","Not in Mindbody",IF(E45=F45,"Match",IF(E45&gt;F45,"Physical higher","Mindbody higher"))))</f>
        <v>Match</v>
      </c>
      <c r="I45" s="10"/>
    </row>
    <row r="46" customFormat="false" ht="15" hidden="false" customHeight="false" outlineLevel="0" collapsed="false">
      <c r="A46" s="2" t="s">
        <v>203</v>
      </c>
      <c r="B46" s="19" t="s">
        <v>210</v>
      </c>
      <c r="C46" s="2" t="s">
        <v>34</v>
      </c>
      <c r="D46" s="3" t="s">
        <v>40</v>
      </c>
      <c r="E46" s="4" t="n">
        <f aca="false">SUMPRODUCT((Bedaya!$B$2:$B$200="Kajukimbo Uniform")*(Bedaya!$D$2:$D$200="160cm"),Bedaya!$E$2:$E$200)</f>
        <v>5</v>
      </c>
      <c r="F46" s="20" t="n">
        <v>5</v>
      </c>
      <c r="G46" s="4" t="n">
        <f aca="false">IF(OR(E46="",F46=""),"",E46-F46)</f>
        <v>0</v>
      </c>
      <c r="H46" s="7" t="str">
        <f aca="false">IF(E46="","Not counted",IF(F46="","Not in Mindbody",IF(E46=F46,"Match",IF(E46&gt;F46,"Physical higher","Mindbody higher"))))</f>
        <v>Match</v>
      </c>
      <c r="I46" s="10"/>
    </row>
    <row r="47" customFormat="false" ht="15" hidden="false" customHeight="false" outlineLevel="0" collapsed="false">
      <c r="A47" s="2" t="s">
        <v>203</v>
      </c>
      <c r="B47" s="19" t="s">
        <v>211</v>
      </c>
      <c r="C47" s="2" t="s">
        <v>34</v>
      </c>
      <c r="D47" s="3" t="s">
        <v>39</v>
      </c>
      <c r="E47" s="4" t="n">
        <f aca="false">SUMPRODUCT((Bedaya!$B$2:$B$200="Kajukimbo Uniform")*(Bedaya!$D$2:$D$200="170cm"),Bedaya!$E$2:$E$200)</f>
        <v>2</v>
      </c>
      <c r="F47" s="20" t="n">
        <v>2</v>
      </c>
      <c r="G47" s="4" t="n">
        <f aca="false">IF(OR(E47="",F47=""),"",E47-F47)</f>
        <v>0</v>
      </c>
      <c r="H47" s="7" t="str">
        <f aca="false">IF(E47="","Not counted",IF(F47="","Not in Mindbody",IF(E47=F47,"Match",IF(E47&gt;F47,"Physical higher","Mindbody higher"))))</f>
        <v>Match</v>
      </c>
      <c r="I47" s="10"/>
    </row>
    <row r="48" customFormat="false" ht="15" hidden="false" customHeight="false" outlineLevel="0" collapsed="false">
      <c r="A48" s="2" t="s">
        <v>203</v>
      </c>
      <c r="B48" s="19" t="s">
        <v>212</v>
      </c>
      <c r="C48" s="2" t="s">
        <v>34</v>
      </c>
      <c r="D48" s="3" t="s">
        <v>38</v>
      </c>
      <c r="E48" s="4" t="n">
        <f aca="false">SUMPRODUCT((Bedaya!$B$2:$B$200="Kajukimbo Uniform")*(Bedaya!$D$2:$D$200="180cm"),Bedaya!$E$2:$E$200)</f>
        <v>2</v>
      </c>
      <c r="F48" s="20" t="n">
        <v>2</v>
      </c>
      <c r="G48" s="4" t="n">
        <f aca="false">IF(OR(E48="",F48=""),"",E48-F48)</f>
        <v>0</v>
      </c>
      <c r="H48" s="7" t="str">
        <f aca="false">IF(E48="","Not counted",IF(F48="","Not in Mindbody",IF(E48=F48,"Match",IF(E48&gt;F48,"Physical higher","Mindbody higher"))))</f>
        <v>Match</v>
      </c>
      <c r="I48" s="10"/>
    </row>
    <row r="49" customFormat="false" ht="15" hidden="false" customHeight="false" outlineLevel="0" collapsed="false">
      <c r="A49" s="2" t="s">
        <v>203</v>
      </c>
      <c r="B49" s="19" t="s">
        <v>213</v>
      </c>
      <c r="C49" s="2" t="s">
        <v>34</v>
      </c>
      <c r="D49" s="3" t="s">
        <v>37</v>
      </c>
      <c r="E49" s="4" t="n">
        <f aca="false">SUMPRODUCT((Bedaya!$B$2:$B$200="Kajukimbo Uniform")*(Bedaya!$D$2:$D$200="190cm"),Bedaya!$E$2:$E$200)</f>
        <v>2</v>
      </c>
      <c r="F49" s="20"/>
      <c r="G49" s="4" t="str">
        <f aca="false">IF(OR(E49="",F49=""),"",E49-F49)</f>
        <v/>
      </c>
      <c r="H49" s="7" t="str">
        <f aca="false">IF(E49="","Not counted",IF(F49="","Not in Mindbody",IF(E49=F49,"Match",IF(E49&gt;F49,"Physical higher","Mindbody higher"))))</f>
        <v>Not in Mindbody</v>
      </c>
      <c r="I49" s="10" t="s">
        <v>214</v>
      </c>
    </row>
    <row r="50" customFormat="false" ht="15" hidden="false" customHeight="false" outlineLevel="0" collapsed="false">
      <c r="A50" s="2" t="s">
        <v>203</v>
      </c>
      <c r="B50" s="19" t="s">
        <v>215</v>
      </c>
      <c r="C50" s="2" t="s">
        <v>34</v>
      </c>
      <c r="D50" s="3" t="s">
        <v>36</v>
      </c>
      <c r="E50" s="4" t="n">
        <f aca="false">SUMPRODUCT((Bedaya!$B$2:$B$200="Kajukimbo Uniform")*(Bedaya!$D$2:$D$200="200cm"),Bedaya!$E$2:$E$200)</f>
        <v>2</v>
      </c>
      <c r="F50" s="20"/>
      <c r="G50" s="4" t="str">
        <f aca="false">IF(OR(E50="",F50=""),"",E50-F50)</f>
        <v/>
      </c>
      <c r="H50" s="7" t="str">
        <f aca="false">IF(E50="","Not counted",IF(F50="","Not in Mindbody",IF(E50=F50,"Match",IF(E50&gt;F50,"Physical higher","Mindbody higher"))))</f>
        <v>Not in Mindbody</v>
      </c>
      <c r="I50" s="10" t="s">
        <v>214</v>
      </c>
    </row>
    <row r="51" customFormat="false" ht="15" hidden="false" customHeight="false" outlineLevel="0" collapsed="false">
      <c r="A51" s="2" t="s">
        <v>216</v>
      </c>
      <c r="B51" s="19" t="s">
        <v>61</v>
      </c>
      <c r="C51" s="2" t="s">
        <v>55</v>
      </c>
      <c r="D51" s="3" t="s">
        <v>61</v>
      </c>
      <c r="E51" s="4" t="n">
        <f aca="false">SUMPRODUCT((Bedaya!$B$2:$B$200="Kickboxing T-shirt")*(Bedaya!$D$2:$D$200="32"),Bedaya!$E$2:$E$200)</f>
        <v>3</v>
      </c>
      <c r="F51" s="20" t="n">
        <v>3</v>
      </c>
      <c r="G51" s="4" t="n">
        <f aca="false">IF(OR(E51="",F51=""),"",E51-F51)</f>
        <v>0</v>
      </c>
      <c r="H51" s="7" t="str">
        <f aca="false">IF(E51="","Not counted",IF(F51="","Not in Mindbody",IF(E51=F51,"Match",IF(E51&gt;F51,"Physical higher","Mindbody higher"))))</f>
        <v>Match</v>
      </c>
      <c r="I51" s="10"/>
    </row>
    <row r="52" customFormat="false" ht="15" hidden="false" customHeight="false" outlineLevel="0" collapsed="false">
      <c r="A52" s="2" t="s">
        <v>216</v>
      </c>
      <c r="B52" s="19" t="s">
        <v>60</v>
      </c>
      <c r="C52" s="2" t="s">
        <v>55</v>
      </c>
      <c r="D52" s="3" t="s">
        <v>60</v>
      </c>
      <c r="E52" s="4" t="n">
        <f aca="false">SUMPRODUCT((Bedaya!$B$2:$B$200="Kickboxing T-shirt")*(Bedaya!$D$2:$D$200="34"),Bedaya!$E$2:$E$200)</f>
        <v>2</v>
      </c>
      <c r="F52" s="20" t="n">
        <v>2</v>
      </c>
      <c r="G52" s="4" t="n">
        <f aca="false">IF(OR(E52="",F52=""),"",E52-F52)</f>
        <v>0</v>
      </c>
      <c r="H52" s="7" t="str">
        <f aca="false">IF(E52="","Not counted",IF(F52="","Not in Mindbody",IF(E52=F52,"Match",IF(E52&gt;F52,"Physical higher","Mindbody higher"))))</f>
        <v>Match</v>
      </c>
      <c r="I52" s="10"/>
    </row>
    <row r="53" customFormat="false" ht="15" hidden="false" customHeight="false" outlineLevel="0" collapsed="false">
      <c r="A53" s="2" t="s">
        <v>216</v>
      </c>
      <c r="B53" s="19" t="s">
        <v>59</v>
      </c>
      <c r="C53" s="2" t="s">
        <v>55</v>
      </c>
      <c r="D53" s="3" t="s">
        <v>59</v>
      </c>
      <c r="E53" s="4" t="n">
        <f aca="false">SUMPRODUCT((Bedaya!$B$2:$B$200="Kickboxing T-shirt")*(Bedaya!$D$2:$D$200="36"),Bedaya!$E$2:$E$200)</f>
        <v>4</v>
      </c>
      <c r="F53" s="20" t="n">
        <v>4</v>
      </c>
      <c r="G53" s="4" t="n">
        <f aca="false">IF(OR(E53="",F53=""),"",E53-F53)</f>
        <v>0</v>
      </c>
      <c r="H53" s="7" t="str">
        <f aca="false">IF(E53="","Not counted",IF(F53="","Not in Mindbody",IF(E53=F53,"Match",IF(E53&gt;F53,"Physical higher","Mindbody higher"))))</f>
        <v>Match</v>
      </c>
      <c r="I53" s="10"/>
    </row>
    <row r="54" customFormat="false" ht="15" hidden="false" customHeight="false" outlineLevel="0" collapsed="false">
      <c r="A54" s="2" t="s">
        <v>216</v>
      </c>
      <c r="B54" s="19" t="s">
        <v>58</v>
      </c>
      <c r="C54" s="2" t="s">
        <v>55</v>
      </c>
      <c r="D54" s="3" t="s">
        <v>58</v>
      </c>
      <c r="E54" s="4" t="n">
        <f aca="false">SUMPRODUCT((Bedaya!$B$2:$B$200="Kickboxing T-shirt")*(Bedaya!$D$2:$D$200="38"),Bedaya!$E$2:$E$200)</f>
        <v>1</v>
      </c>
      <c r="F54" s="20" t="n">
        <v>1</v>
      </c>
      <c r="G54" s="4" t="n">
        <f aca="false">IF(OR(E54="",F54=""),"",E54-F54)</f>
        <v>0</v>
      </c>
      <c r="H54" s="7" t="str">
        <f aca="false">IF(E54="","Not counted",IF(F54="","Not in Mindbody",IF(E54=F54,"Match",IF(E54&gt;F54,"Physical higher","Mindbody higher"))))</f>
        <v>Match</v>
      </c>
      <c r="I54" s="10"/>
    </row>
    <row r="55" customFormat="false" ht="15" hidden="false" customHeight="false" outlineLevel="0" collapsed="false">
      <c r="A55" s="2" t="s">
        <v>216</v>
      </c>
      <c r="B55" s="19" t="s">
        <v>57</v>
      </c>
      <c r="C55" s="2" t="s">
        <v>55</v>
      </c>
      <c r="D55" s="3" t="s">
        <v>57</v>
      </c>
      <c r="E55" s="4" t="n">
        <f aca="false">SUMPRODUCT((Bedaya!$B$2:$B$200="Kickboxing T-shirt")*(Bedaya!$D$2:$D$200="40"),Bedaya!$E$2:$E$200)</f>
        <v>2</v>
      </c>
      <c r="F55" s="20" t="n">
        <v>2</v>
      </c>
      <c r="G55" s="4" t="n">
        <f aca="false">IF(OR(E55="",F55=""),"",E55-F55)</f>
        <v>0</v>
      </c>
      <c r="H55" s="7" t="str">
        <f aca="false">IF(E55="","Not counted",IF(F55="","Not in Mindbody",IF(E55=F55,"Match",IF(E55&gt;F55,"Physical higher","Mindbody higher"))))</f>
        <v>Match</v>
      </c>
      <c r="I55" s="10"/>
    </row>
    <row r="56" customFormat="false" ht="15" hidden="false" customHeight="false" outlineLevel="0" collapsed="false">
      <c r="A56" s="2" t="s">
        <v>216</v>
      </c>
      <c r="B56" s="19" t="s">
        <v>174</v>
      </c>
      <c r="C56" s="2" t="s">
        <v>55</v>
      </c>
      <c r="D56" s="3" t="s">
        <v>17</v>
      </c>
      <c r="E56" s="4" t="n">
        <f aca="false">SUMPRODUCT((Bedaya!$B$2:$B$200="Kickboxing T-shirt")*(Bedaya!$D$2:$D$200="L"),Bedaya!$E$2:$E$200)</f>
        <v>3</v>
      </c>
      <c r="F56" s="20" t="n">
        <v>3</v>
      </c>
      <c r="G56" s="4" t="n">
        <f aca="false">IF(OR(E56="",F56=""),"",E56-F56)</f>
        <v>0</v>
      </c>
      <c r="H56" s="7" t="str">
        <f aca="false">IF(E56="","Not counted",IF(F56="","Not in Mindbody",IF(E56=F56,"Match",IF(E56&gt;F56,"Physical higher","Mindbody higher"))))</f>
        <v>Match</v>
      </c>
      <c r="I56" s="10"/>
    </row>
    <row r="57" customFormat="false" ht="15" hidden="false" customHeight="false" outlineLevel="0" collapsed="false">
      <c r="A57" s="2" t="s">
        <v>216</v>
      </c>
      <c r="B57" s="19" t="s">
        <v>181</v>
      </c>
      <c r="C57" s="2" t="s">
        <v>55</v>
      </c>
      <c r="D57" s="3" t="s">
        <v>13</v>
      </c>
      <c r="E57" s="4" t="n">
        <f aca="false">SUMPRODUCT((Bedaya!$B$2:$B$200="Kickboxing T-shirt")*(Bedaya!$D$2:$D$200="M"),Bedaya!$E$2:$E$200)</f>
        <v>0</v>
      </c>
      <c r="F57" s="20" t="n">
        <v>0</v>
      </c>
      <c r="G57" s="4" t="n">
        <f aca="false">IF(OR(E57="",F57=""),"",E57-F57)</f>
        <v>0</v>
      </c>
      <c r="H57" s="7" t="str">
        <f aca="false">IF(E57="","Not counted",IF(F57="","Not in Mindbody",IF(E57=F57,"Match",IF(E57&gt;F57,"Physical higher","Mindbody higher"))))</f>
        <v>Match</v>
      </c>
      <c r="I57" s="10"/>
    </row>
    <row r="58" customFormat="false" ht="15" hidden="false" customHeight="false" outlineLevel="0" collapsed="false">
      <c r="A58" s="2" t="s">
        <v>216</v>
      </c>
      <c r="B58" s="19" t="s">
        <v>8</v>
      </c>
      <c r="C58" s="2" t="s">
        <v>55</v>
      </c>
      <c r="D58" s="3" t="s">
        <v>14</v>
      </c>
      <c r="E58" s="4" t="n">
        <f aca="false">SUMPRODUCT((Bedaya!$B$2:$B$200="Kickboxing T-shirt")*(Bedaya!$D$2:$D$200="S"),Bedaya!$E$2:$E$200)</f>
        <v>0</v>
      </c>
      <c r="F58" s="20" t="n">
        <v>0</v>
      </c>
      <c r="G58" s="4" t="n">
        <f aca="false">IF(OR(E58="",F58=""),"",E58-F58)</f>
        <v>0</v>
      </c>
      <c r="H58" s="7" t="str">
        <f aca="false">IF(E58="","Not counted",IF(F58="","Not in Mindbody",IF(E58=F58,"Match",IF(E58&gt;F58,"Physical higher","Mindbody higher"))))</f>
        <v>Match</v>
      </c>
      <c r="I58" s="10"/>
    </row>
    <row r="59" customFormat="false" ht="15" hidden="false" customHeight="false" outlineLevel="0" collapsed="false">
      <c r="A59" s="2" t="s">
        <v>216</v>
      </c>
      <c r="B59" s="19" t="s">
        <v>182</v>
      </c>
      <c r="C59" s="2" t="s">
        <v>55</v>
      </c>
      <c r="D59" s="3" t="s">
        <v>16</v>
      </c>
      <c r="E59" s="4" t="n">
        <f aca="false">SUMPRODUCT((Bedaya!$B$2:$B$200="Kickboxing T-shirt")*(Bedaya!$D$2:$D$200="XL"),Bedaya!$E$2:$E$200)</f>
        <v>2</v>
      </c>
      <c r="F59" s="20" t="n">
        <v>2</v>
      </c>
      <c r="G59" s="4" t="n">
        <f aca="false">IF(OR(E59="",F59=""),"",E59-F59)</f>
        <v>0</v>
      </c>
      <c r="H59" s="7" t="str">
        <f aca="false">IF(E59="","Not counted",IF(F59="","Not in Mindbody",IF(E59=F59,"Match",IF(E59&gt;F59,"Physical higher","Mindbody higher"))))</f>
        <v>Match</v>
      </c>
      <c r="I59" s="10"/>
    </row>
    <row r="60" customFormat="false" ht="15" hidden="false" customHeight="false" outlineLevel="0" collapsed="false">
      <c r="A60" s="2" t="s">
        <v>217</v>
      </c>
      <c r="B60" s="19" t="s">
        <v>218</v>
      </c>
      <c r="C60" s="2" t="s">
        <v>6</v>
      </c>
      <c r="D60" s="3" t="s">
        <v>9</v>
      </c>
      <c r="E60" s="4" t="n">
        <f aca="false">SUMPRODUCT((Bedaya!$B$2:$B$200="Kyokushin Gloves (White)")*(Bedaya!$D$2:$D$200="XS"),Bedaya!$E$2:$E$200)</f>
        <v>2</v>
      </c>
      <c r="F60" s="20" t="n">
        <v>2</v>
      </c>
      <c r="G60" s="4" t="n">
        <f aca="false">IF(OR(E60="",F60=""),"",E60-F60)</f>
        <v>0</v>
      </c>
      <c r="H60" s="7" t="str">
        <f aca="false">IF(E60="","Not counted",IF(F60="","Not in Mindbody",IF(E60=F60,"Match",IF(E60&gt;F60,"Physical higher","Mindbody higher"))))</f>
        <v>Match</v>
      </c>
      <c r="I60" s="10"/>
    </row>
    <row r="61" customFormat="false" ht="15" hidden="false" customHeight="false" outlineLevel="0" collapsed="false">
      <c r="A61" s="2" t="s">
        <v>217</v>
      </c>
      <c r="B61" s="19" t="s">
        <v>8</v>
      </c>
      <c r="C61" s="2" t="s">
        <v>6</v>
      </c>
      <c r="D61" s="3" t="s">
        <v>8</v>
      </c>
      <c r="E61" s="4" t="n">
        <f aca="false">SUMPRODUCT((Bedaya!$B$2:$B$200="Kyokushin Gloves (White)")*(Bedaya!$D$2:$D$200="Small"),Bedaya!$E$2:$E$200)</f>
        <v>1</v>
      </c>
      <c r="F61" s="20" t="n">
        <v>1</v>
      </c>
      <c r="G61" s="4" t="n">
        <f aca="false">IF(OR(E61="",F61=""),"",E61-F61)</f>
        <v>0</v>
      </c>
      <c r="H61" s="7" t="str">
        <f aca="false">IF(E61="","Not counted",IF(F61="","Not in Mindbody",IF(E61=F61,"Match",IF(E61&gt;F61,"Physical higher","Mindbody higher"))))</f>
        <v>Match</v>
      </c>
      <c r="I61" s="10"/>
    </row>
    <row r="62" customFormat="false" ht="15" hidden="false" customHeight="false" outlineLevel="0" collapsed="false">
      <c r="A62" s="2" t="s">
        <v>217</v>
      </c>
      <c r="B62" s="19" t="s">
        <v>181</v>
      </c>
      <c r="C62" s="2"/>
      <c r="D62" s="3"/>
      <c r="E62" s="4"/>
      <c r="F62" s="20" t="n">
        <v>12</v>
      </c>
      <c r="G62" s="4" t="str">
        <f aca="false">IF(OR(E62="",F62=""),"",E62-F62)</f>
        <v/>
      </c>
      <c r="H62" s="7" t="str">
        <f aca="false">IF(E62="","Not counted",IF(F62="","Not in Mindbody",IF(E62=F62,"Match",IF(E62&gt;F62,"Physical higher","Mindbody higher"))))</f>
        <v>Not counted</v>
      </c>
      <c r="I62" s="10" t="s">
        <v>170</v>
      </c>
    </row>
    <row r="63" customFormat="false" ht="15" hidden="false" customHeight="false" outlineLevel="0" collapsed="false">
      <c r="A63" s="2" t="s">
        <v>217</v>
      </c>
      <c r="B63" s="19" t="s">
        <v>174</v>
      </c>
      <c r="C63" s="2"/>
      <c r="D63" s="3"/>
      <c r="E63" s="4"/>
      <c r="F63" s="20" t="n">
        <v>3</v>
      </c>
      <c r="G63" s="4" t="str">
        <f aca="false">IF(OR(E63="",F63=""),"",E63-F63)</f>
        <v/>
      </c>
      <c r="H63" s="7" t="str">
        <f aca="false">IF(E63="","Not counted",IF(F63="","Not in Mindbody",IF(E63=F63,"Match",IF(E63&gt;F63,"Physical higher","Mindbody higher"))))</f>
        <v>Not counted</v>
      </c>
      <c r="I63" s="10" t="s">
        <v>170</v>
      </c>
    </row>
    <row r="64" customFormat="false" ht="15" hidden="false" customHeight="false" outlineLevel="0" collapsed="false">
      <c r="A64" s="2" t="s">
        <v>219</v>
      </c>
      <c r="B64" s="19" t="s">
        <v>169</v>
      </c>
      <c r="C64" s="2"/>
      <c r="D64" s="3"/>
      <c r="E64" s="4"/>
      <c r="F64" s="20" t="n">
        <v>-24</v>
      </c>
      <c r="G64" s="4" t="str">
        <f aca="false">IF(OR(E64="",F64=""),"",E64-F64)</f>
        <v/>
      </c>
      <c r="H64" s="7" t="str">
        <f aca="false">IF(E64="","Not counted",IF(F64="","Not in Mindbody",IF(E64=F64,"Match",IF(E64&gt;F64,"Physical higher","Mindbody higher"))))</f>
        <v>Not counted</v>
      </c>
      <c r="I64" s="10" t="s">
        <v>220</v>
      </c>
    </row>
    <row r="65" customFormat="false" ht="15" hidden="false" customHeight="false" outlineLevel="0" collapsed="false">
      <c r="A65" s="2" t="s">
        <v>221</v>
      </c>
      <c r="B65" s="19" t="s">
        <v>174</v>
      </c>
      <c r="C65" s="2" t="s">
        <v>71</v>
      </c>
      <c r="D65" s="3" t="s">
        <v>17</v>
      </c>
      <c r="E65" s="4" t="n">
        <f aca="false">SUMPRODUCT((Bedaya!$B$2:$B$200="Elite MMA T-shirt")*(Bedaya!$D$2:$D$200="L"),Bedaya!$E$2:$E$200)</f>
        <v>1</v>
      </c>
      <c r="F65" s="20" t="n">
        <v>1</v>
      </c>
      <c r="G65" s="4" t="n">
        <f aca="false">IF(OR(E65="",F65=""),"",E65-F65)</f>
        <v>0</v>
      </c>
      <c r="H65" s="7" t="str">
        <f aca="false">IF(E65="","Not counted",IF(F65="","Not in Mindbody",IF(E65=F65,"Match",IF(E65&gt;F65,"Physical higher","Mindbody higher"))))</f>
        <v>Match</v>
      </c>
      <c r="I65" s="10"/>
    </row>
    <row r="66" customFormat="false" ht="15" hidden="false" customHeight="false" outlineLevel="0" collapsed="false">
      <c r="A66" s="2" t="s">
        <v>221</v>
      </c>
      <c r="B66" s="19" t="s">
        <v>181</v>
      </c>
      <c r="C66" s="2" t="s">
        <v>71</v>
      </c>
      <c r="D66" s="3" t="s">
        <v>13</v>
      </c>
      <c r="E66" s="4" t="n">
        <f aca="false">SUMPRODUCT((Bedaya!$B$2:$B$200="Elite MMA T-shirt")*(Bedaya!$D$2:$D$200="M"),Bedaya!$E$2:$E$200)</f>
        <v>3</v>
      </c>
      <c r="F66" s="20" t="n">
        <v>3</v>
      </c>
      <c r="G66" s="4" t="n">
        <f aca="false">IF(OR(E66="",F66=""),"",E66-F66)</f>
        <v>0</v>
      </c>
      <c r="H66" s="7" t="str">
        <f aca="false">IF(E66="","Not counted",IF(F66="","Not in Mindbody",IF(E66=F66,"Match",IF(E66&gt;F66,"Physical higher","Mindbody higher"))))</f>
        <v>Match</v>
      </c>
      <c r="I66" s="10"/>
    </row>
    <row r="67" customFormat="false" ht="15" hidden="false" customHeight="false" outlineLevel="0" collapsed="false">
      <c r="A67" s="2" t="s">
        <v>221</v>
      </c>
      <c r="B67" s="19" t="s">
        <v>8</v>
      </c>
      <c r="C67" s="2" t="s">
        <v>71</v>
      </c>
      <c r="D67" s="3" t="s">
        <v>14</v>
      </c>
      <c r="E67" s="4" t="n">
        <f aca="false">SUMPRODUCT((Bedaya!$B$2:$B$200="Elite MMA T-shirt")*(Bedaya!$D$2:$D$200="S"),Bedaya!$E$2:$E$200)</f>
        <v>1</v>
      </c>
      <c r="F67" s="20" t="n">
        <v>1</v>
      </c>
      <c r="G67" s="4" t="n">
        <f aca="false">IF(OR(E67="",F67=""),"",E67-F67)</f>
        <v>0</v>
      </c>
      <c r="H67" s="7" t="str">
        <f aca="false">IF(E67="","Not counted",IF(F67="","Not in Mindbody",IF(E67=F67,"Match",IF(E67&gt;F67,"Physical higher","Mindbody higher"))))</f>
        <v>Match</v>
      </c>
      <c r="I67" s="10"/>
    </row>
    <row r="68" customFormat="false" ht="15" hidden="false" customHeight="false" outlineLevel="0" collapsed="false">
      <c r="A68" s="2" t="s">
        <v>10</v>
      </c>
      <c r="B68" s="19" t="s">
        <v>222</v>
      </c>
      <c r="C68" s="2" t="s">
        <v>10</v>
      </c>
      <c r="D68" s="3" t="s">
        <v>8</v>
      </c>
      <c r="E68" s="4" t="n">
        <f aca="false">SUMPRODUCT((Bedaya!$B$2:$B$200="Mouth Guard")*(Bedaya!$D$2:$D$200="Small"),Bedaya!$E$2:$E$200)</f>
        <v>2</v>
      </c>
      <c r="F68" s="20" t="n">
        <v>2</v>
      </c>
      <c r="G68" s="4" t="n">
        <f aca="false">IF(OR(E68="",F68=""),"",E68-F68)</f>
        <v>0</v>
      </c>
      <c r="H68" s="7" t="str">
        <f aca="false">IF(E68="","Not counted",IF(F68="","Not in Mindbody",IF(E68=F68,"Match",IF(E68&gt;F68,"Physical higher","Mindbody higher"))))</f>
        <v>Match</v>
      </c>
      <c r="I68" s="10" t="s">
        <v>223</v>
      </c>
    </row>
    <row r="69" customFormat="false" ht="15" hidden="false" customHeight="false" outlineLevel="0" collapsed="false">
      <c r="A69" s="2" t="s">
        <v>10</v>
      </c>
      <c r="B69" s="19" t="s">
        <v>224</v>
      </c>
      <c r="C69" s="2" t="s">
        <v>10</v>
      </c>
      <c r="D69" s="3" t="s">
        <v>11</v>
      </c>
      <c r="E69" s="4" t="n">
        <f aca="false">SUMPRODUCT((Bedaya!$B$2:$B$200="Mouth Guard")*(Bedaya!$D$2:$D$200="Junior"),Bedaya!$E$2:$E$200)</f>
        <v>12</v>
      </c>
      <c r="F69" s="20"/>
      <c r="G69" s="4" t="str">
        <f aca="false">IF(OR(E69="",F69=""),"",E69-F69)</f>
        <v/>
      </c>
      <c r="H69" s="7" t="str">
        <f aca="false">IF(E69="","Not counted",IF(F69="","Not in Mindbody",IF(E69=F69,"Match",IF(E69&gt;F69,"Physical higher","Mindbody higher"))))</f>
        <v>Not in Mindbody</v>
      </c>
      <c r="I69" s="10" t="s">
        <v>225</v>
      </c>
    </row>
    <row r="70" customFormat="false" ht="15" hidden="false" customHeight="false" outlineLevel="0" collapsed="false">
      <c r="A70" s="2" t="s">
        <v>226</v>
      </c>
      <c r="B70" s="19" t="s">
        <v>204</v>
      </c>
      <c r="C70" s="2" t="s">
        <v>227</v>
      </c>
      <c r="D70" s="3" t="s">
        <v>46</v>
      </c>
      <c r="E70" s="4" t="n">
        <f aca="false">SUMPRODUCT(('No Program'!$B$2:$B$200="Judo Uniform")*('No Program'!$D$2:$D$200="100cm"),'No Program'!$E$2:$E$200)</f>
        <v>9</v>
      </c>
      <c r="F70" s="20" t="n">
        <v>8</v>
      </c>
      <c r="G70" s="4" t="n">
        <f aca="false">IF(OR(E70="",F70=""),"",E70-F70)</f>
        <v>1</v>
      </c>
      <c r="H70" s="7" t="str">
        <f aca="false">IF(E70="","Not counted",IF(F70="","Not in Mindbody",IF(E70=F70,"Match",IF(E70&gt;F70,"Physical higher","Mindbody higher"))))</f>
        <v>Physical higher</v>
      </c>
      <c r="I70" s="10" t="s">
        <v>228</v>
      </c>
    </row>
    <row r="71" customFormat="false" ht="15" hidden="false" customHeight="false" outlineLevel="0" collapsed="false">
      <c r="A71" s="2" t="s">
        <v>226</v>
      </c>
      <c r="B71" s="19" t="s">
        <v>205</v>
      </c>
      <c r="C71" s="2" t="s">
        <v>227</v>
      </c>
      <c r="D71" s="3" t="s">
        <v>45</v>
      </c>
      <c r="E71" s="4" t="n">
        <f aca="false">SUMPRODUCT(('No Program'!$B$2:$B$200="Judo Uniform")*('No Program'!$D$2:$D$200="110cm"),'No Program'!$E$2:$E$200)</f>
        <v>9</v>
      </c>
      <c r="F71" s="20" t="n">
        <v>9</v>
      </c>
      <c r="G71" s="4" t="n">
        <f aca="false">IF(OR(E71="",F71=""),"",E71-F71)</f>
        <v>0</v>
      </c>
      <c r="H71" s="7" t="str">
        <f aca="false">IF(E71="","Not counted",IF(F71="","Not in Mindbody",IF(E71=F71,"Match",IF(E71&gt;F71,"Physical higher","Mindbody higher"))))</f>
        <v>Match</v>
      </c>
      <c r="I71" s="10" t="s">
        <v>229</v>
      </c>
    </row>
    <row r="72" customFormat="false" ht="15" hidden="false" customHeight="false" outlineLevel="0" collapsed="false">
      <c r="A72" s="2" t="s">
        <v>226</v>
      </c>
      <c r="B72" s="19" t="s">
        <v>206</v>
      </c>
      <c r="C72" s="2" t="s">
        <v>227</v>
      </c>
      <c r="D72" s="3" t="s">
        <v>44</v>
      </c>
      <c r="E72" s="4" t="n">
        <f aca="false">SUMPRODUCT(('No Program'!$B$2:$B$200="Judo Uniform")*('No Program'!$D$2:$D$200="120cm"),'No Program'!$E$2:$E$200)</f>
        <v>6</v>
      </c>
      <c r="F72" s="20" t="n">
        <v>6</v>
      </c>
      <c r="G72" s="4" t="n">
        <f aca="false">IF(OR(E72="",F72=""),"",E72-F72)</f>
        <v>0</v>
      </c>
      <c r="H72" s="7" t="str">
        <f aca="false">IF(E72="","Not counted",IF(F72="","Not in Mindbody",IF(E72=F72,"Match",IF(E72&gt;F72,"Physical higher","Mindbody higher"))))</f>
        <v>Match</v>
      </c>
      <c r="I72" s="10" t="s">
        <v>229</v>
      </c>
    </row>
    <row r="73" customFormat="false" ht="15" hidden="false" customHeight="false" outlineLevel="0" collapsed="false">
      <c r="A73" s="2" t="s">
        <v>226</v>
      </c>
      <c r="B73" s="19" t="s">
        <v>207</v>
      </c>
      <c r="C73" s="2" t="s">
        <v>227</v>
      </c>
      <c r="D73" s="3" t="s">
        <v>43</v>
      </c>
      <c r="E73" s="4" t="n">
        <f aca="false">SUMPRODUCT(('No Program'!$B$2:$B$200="Judo Uniform")*('No Program'!$D$2:$D$200="130cm"),'No Program'!$E$2:$E$200)</f>
        <v>3</v>
      </c>
      <c r="F73" s="20" t="n">
        <v>3</v>
      </c>
      <c r="G73" s="4" t="n">
        <f aca="false">IF(OR(E73="",F73=""),"",E73-F73)</f>
        <v>0</v>
      </c>
      <c r="H73" s="7" t="str">
        <f aca="false">IF(E73="","Not counted",IF(F73="","Not in Mindbody",IF(E73=F73,"Match",IF(E73&gt;F73,"Physical higher","Mindbody higher"))))</f>
        <v>Match</v>
      </c>
      <c r="I73" s="10" t="s">
        <v>229</v>
      </c>
    </row>
    <row r="74" customFormat="false" ht="15" hidden="false" customHeight="false" outlineLevel="0" collapsed="false">
      <c r="A74" s="2" t="s">
        <v>226</v>
      </c>
      <c r="B74" s="19" t="s">
        <v>208</v>
      </c>
      <c r="C74" s="2" t="s">
        <v>227</v>
      </c>
      <c r="D74" s="3" t="s">
        <v>42</v>
      </c>
      <c r="E74" s="4" t="n">
        <f aca="false">SUMPRODUCT(('No Program'!$B$2:$B$200="Judo Uniform")*('No Program'!$D$2:$D$200="140cm"),'No Program'!$E$2:$E$200)</f>
        <v>8</v>
      </c>
      <c r="F74" s="20" t="n">
        <v>8</v>
      </c>
      <c r="G74" s="4" t="n">
        <f aca="false">IF(OR(E74="",F74=""),"",E74-F74)</f>
        <v>0</v>
      </c>
      <c r="H74" s="7" t="str">
        <f aca="false">IF(E74="","Not counted",IF(F74="","Not in Mindbody",IF(E74=F74,"Match",IF(E74&gt;F74,"Physical higher","Mindbody higher"))))</f>
        <v>Match</v>
      </c>
      <c r="I74" s="10" t="s">
        <v>229</v>
      </c>
    </row>
    <row r="75" customFormat="false" ht="15" hidden="false" customHeight="false" outlineLevel="0" collapsed="false">
      <c r="A75" s="2" t="s">
        <v>226</v>
      </c>
      <c r="B75" s="19" t="s">
        <v>210</v>
      </c>
      <c r="C75" s="2" t="s">
        <v>227</v>
      </c>
      <c r="D75" s="3" t="s">
        <v>40</v>
      </c>
      <c r="E75" s="4" t="n">
        <f aca="false">SUMPRODUCT(('No Program'!$B$2:$B$200="Judo Uniform")*('No Program'!$D$2:$D$200="160cm"),'No Program'!$E$2:$E$200)</f>
        <v>1</v>
      </c>
      <c r="F75" s="20" t="n">
        <v>1</v>
      </c>
      <c r="G75" s="4" t="n">
        <f aca="false">IF(OR(E75="",F75=""),"",E75-F75)</f>
        <v>0</v>
      </c>
      <c r="H75" s="7" t="str">
        <f aca="false">IF(E75="","Not counted",IF(F75="","Not in Mindbody",IF(E75=F75,"Match",IF(E75&gt;F75,"Physical higher","Mindbody higher"))))</f>
        <v>Match</v>
      </c>
      <c r="I75" s="10" t="s">
        <v>229</v>
      </c>
    </row>
    <row r="76" customFormat="false" ht="23.85" hidden="false" customHeight="false" outlineLevel="0" collapsed="false">
      <c r="A76" s="2" t="s">
        <v>226</v>
      </c>
      <c r="B76" s="19" t="s">
        <v>230</v>
      </c>
      <c r="C76" s="2" t="s">
        <v>227</v>
      </c>
      <c r="D76" s="3" t="s">
        <v>41</v>
      </c>
      <c r="E76" s="4" t="n">
        <f aca="false">SUMPRODUCT(('No Program'!$B$2:$B$200="Judo Uniform")*('No Program'!$D$2:$D$200="150cm"),'No Program'!$E$2:$E$200)</f>
        <v>6</v>
      </c>
      <c r="F76" s="20" t="n">
        <v>6</v>
      </c>
      <c r="G76" s="4" t="n">
        <f aca="false">IF(OR(E76="",F76=""),"",E76-F76)</f>
        <v>0</v>
      </c>
      <c r="H76" s="7" t="str">
        <f aca="false">IF(E76="","Not counted",IF(F76="","Not in Mindbody",IF(E76=F76,"Match",IF(E76&gt;F76,"Physical higher","Mindbody higher"))))</f>
        <v>Match</v>
      </c>
      <c r="I76" s="10" t="s">
        <v>231</v>
      </c>
    </row>
    <row r="77" customFormat="false" ht="15" hidden="false" customHeight="false" outlineLevel="0" collapsed="false">
      <c r="A77" s="2" t="s">
        <v>226</v>
      </c>
      <c r="B77" s="19" t="s">
        <v>211</v>
      </c>
      <c r="C77" s="2" t="s">
        <v>227</v>
      </c>
      <c r="D77" s="3" t="s">
        <v>39</v>
      </c>
      <c r="E77" s="21"/>
      <c r="F77" s="20" t="n">
        <v>0</v>
      </c>
      <c r="G77" s="4" t="str">
        <f aca="false">IF(OR(E77="",F77=""),"",E77-F77)</f>
        <v/>
      </c>
      <c r="H77" s="7" t="str">
        <f aca="false">IF(E77="","Not counted",IF(F77="","Not in Mindbody",IF(E77=F77,"Match",IF(E77&gt;F77,"Physical higher","Mindbody higher"))))</f>
        <v>Not counted</v>
      </c>
      <c r="I77" s="10" t="s">
        <v>232</v>
      </c>
    </row>
    <row r="78" customFormat="false" ht="15" hidden="false" customHeight="false" outlineLevel="0" collapsed="false">
      <c r="A78" s="2" t="s">
        <v>233</v>
      </c>
      <c r="B78" s="19" t="s">
        <v>204</v>
      </c>
      <c r="C78" s="2" t="s">
        <v>48</v>
      </c>
      <c r="D78" s="3" t="s">
        <v>46</v>
      </c>
      <c r="E78" s="4" t="n">
        <f aca="false">SUMPRODUCT((Bedaya!$B$2:$B$200="Karate Uniform")*(Bedaya!$D$2:$D$200="100cm"),Bedaya!$E$2:$E$200)</f>
        <v>11</v>
      </c>
      <c r="F78" s="20" t="n">
        <v>11</v>
      </c>
      <c r="G78" s="4" t="n">
        <f aca="false">IF(OR(E78="",F78=""),"",E78-F78)</f>
        <v>0</v>
      </c>
      <c r="H78" s="7" t="str">
        <f aca="false">IF(E78="","Not counted",IF(F78="","Not in Mindbody",IF(E78=F78,"Match",IF(E78&gt;F78,"Physical higher","Mindbody higher"))))</f>
        <v>Match</v>
      </c>
      <c r="I78" s="10"/>
    </row>
    <row r="79" customFormat="false" ht="15" hidden="false" customHeight="false" outlineLevel="0" collapsed="false">
      <c r="A79" s="2" t="s">
        <v>233</v>
      </c>
      <c r="B79" s="19" t="s">
        <v>205</v>
      </c>
      <c r="C79" s="2" t="s">
        <v>48</v>
      </c>
      <c r="D79" s="3" t="s">
        <v>45</v>
      </c>
      <c r="E79" s="4" t="n">
        <f aca="false">SUMPRODUCT((Bedaya!$B$2:$B$200="Karate Uniform")*(Bedaya!$D$2:$D$200="110cm"),Bedaya!$E$2:$E$200)</f>
        <v>4</v>
      </c>
      <c r="F79" s="20" t="n">
        <v>4</v>
      </c>
      <c r="G79" s="4" t="n">
        <f aca="false">IF(OR(E79="",F79=""),"",E79-F79)</f>
        <v>0</v>
      </c>
      <c r="H79" s="7" t="str">
        <f aca="false">IF(E79="","Not counted",IF(F79="","Not in Mindbody",IF(E79=F79,"Match",IF(E79&gt;F79,"Physical higher","Mindbody higher"))))</f>
        <v>Match</v>
      </c>
      <c r="I79" s="10"/>
    </row>
    <row r="80" customFormat="false" ht="15" hidden="false" customHeight="false" outlineLevel="0" collapsed="false">
      <c r="A80" s="2" t="s">
        <v>233</v>
      </c>
      <c r="B80" s="19" t="s">
        <v>206</v>
      </c>
      <c r="C80" s="2" t="s">
        <v>48</v>
      </c>
      <c r="D80" s="3" t="s">
        <v>44</v>
      </c>
      <c r="E80" s="4" t="n">
        <f aca="false">SUMPRODUCT((Bedaya!$B$2:$B$200="Karate Uniform")*(Bedaya!$D$2:$D$200="120cm"),Bedaya!$E$2:$E$200)</f>
        <v>3</v>
      </c>
      <c r="F80" s="20" t="n">
        <v>3</v>
      </c>
      <c r="G80" s="4" t="n">
        <f aca="false">IF(OR(E80="",F80=""),"",E80-F80)</f>
        <v>0</v>
      </c>
      <c r="H80" s="7" t="str">
        <f aca="false">IF(E80="","Not counted",IF(F80="","Not in Mindbody",IF(E80=F80,"Match",IF(E80&gt;F80,"Physical higher","Mindbody higher"))))</f>
        <v>Match</v>
      </c>
      <c r="I80" s="10"/>
    </row>
    <row r="81" customFormat="false" ht="15" hidden="false" customHeight="false" outlineLevel="0" collapsed="false">
      <c r="A81" s="2" t="s">
        <v>233</v>
      </c>
      <c r="B81" s="19" t="s">
        <v>207</v>
      </c>
      <c r="C81" s="2" t="s">
        <v>48</v>
      </c>
      <c r="D81" s="3" t="s">
        <v>43</v>
      </c>
      <c r="E81" s="4" t="n">
        <f aca="false">SUMPRODUCT((Bedaya!$B$2:$B$200="Karate Uniform")*(Bedaya!$D$2:$D$200="130cm"),Bedaya!$E$2:$E$200)</f>
        <v>4</v>
      </c>
      <c r="F81" s="20" t="n">
        <v>4</v>
      </c>
      <c r="G81" s="4" t="n">
        <f aca="false">IF(OR(E81="",F81=""),"",E81-F81)</f>
        <v>0</v>
      </c>
      <c r="H81" s="7" t="str">
        <f aca="false">IF(E81="","Not counted",IF(F81="","Not in Mindbody",IF(E81=F81,"Match",IF(E81&gt;F81,"Physical higher","Mindbody higher"))))</f>
        <v>Match</v>
      </c>
      <c r="I81" s="10"/>
    </row>
    <row r="82" customFormat="false" ht="15" hidden="false" customHeight="false" outlineLevel="0" collapsed="false">
      <c r="A82" s="2" t="s">
        <v>233</v>
      </c>
      <c r="B82" s="19" t="s">
        <v>208</v>
      </c>
      <c r="C82" s="2" t="s">
        <v>48</v>
      </c>
      <c r="D82" s="3" t="s">
        <v>42</v>
      </c>
      <c r="E82" s="4" t="n">
        <f aca="false">SUMPRODUCT((Bedaya!$B$2:$B$200="Karate Uniform")*(Bedaya!$D$2:$D$200="140cm"),Bedaya!$E$2:$E$200)</f>
        <v>3</v>
      </c>
      <c r="F82" s="20" t="n">
        <v>3</v>
      </c>
      <c r="G82" s="4" t="n">
        <f aca="false">IF(OR(E82="",F82=""),"",E82-F82)</f>
        <v>0</v>
      </c>
      <c r="H82" s="7" t="str">
        <f aca="false">IF(E82="","Not counted",IF(F82="","Not in Mindbody",IF(E82=F82,"Match",IF(E82&gt;F82,"Physical higher","Mindbody higher"))))</f>
        <v>Match</v>
      </c>
      <c r="I82" s="10"/>
    </row>
    <row r="83" customFormat="false" ht="15" hidden="false" customHeight="false" outlineLevel="0" collapsed="false">
      <c r="A83" s="2" t="s">
        <v>233</v>
      </c>
      <c r="B83" s="19" t="s">
        <v>209</v>
      </c>
      <c r="C83" s="2" t="s">
        <v>48</v>
      </c>
      <c r="D83" s="3" t="s">
        <v>41</v>
      </c>
      <c r="E83" s="4" t="n">
        <f aca="false">SUMPRODUCT((Bedaya!$B$2:$B$200="Karate Uniform")*(Bedaya!$D$2:$D$200="150cm"),Bedaya!$E$2:$E$200)</f>
        <v>4</v>
      </c>
      <c r="F83" s="20" t="n">
        <v>2</v>
      </c>
      <c r="G83" s="4" t="n">
        <f aca="false">IF(OR(E83="",F83=""),"",E83-F83)</f>
        <v>2</v>
      </c>
      <c r="H83" s="7" t="str">
        <f aca="false">IF(E83="","Not counted",IF(F83="","Not in Mindbody",IF(E83=F83,"Match",IF(E83&gt;F83,"Physical higher","Mindbody higher"))))</f>
        <v>Physical higher</v>
      </c>
      <c r="I83" s="10" t="s">
        <v>234</v>
      </c>
    </row>
    <row r="84" customFormat="false" ht="15" hidden="false" customHeight="false" outlineLevel="0" collapsed="false">
      <c r="A84" s="2" t="s">
        <v>233</v>
      </c>
      <c r="B84" s="19" t="s">
        <v>210</v>
      </c>
      <c r="C84" s="2" t="s">
        <v>48</v>
      </c>
      <c r="D84" s="3" t="s">
        <v>40</v>
      </c>
      <c r="E84" s="4" t="n">
        <f aca="false">SUMPRODUCT((Bedaya!$B$2:$B$200="Karate Uniform")*(Bedaya!$D$2:$D$200="160cm"),Bedaya!$E$2:$E$200)</f>
        <v>4</v>
      </c>
      <c r="F84" s="20" t="n">
        <v>3</v>
      </c>
      <c r="G84" s="4" t="n">
        <f aca="false">IF(OR(E84="",F84=""),"",E84-F84)</f>
        <v>1</v>
      </c>
      <c r="H84" s="7" t="str">
        <f aca="false">IF(E84="","Not counted",IF(F84="","Not in Mindbody",IF(E84=F84,"Match",IF(E84&gt;F84,"Physical higher","Mindbody higher"))))</f>
        <v>Physical higher</v>
      </c>
      <c r="I84" s="10"/>
    </row>
    <row r="85" customFormat="false" ht="15" hidden="false" customHeight="false" outlineLevel="0" collapsed="false">
      <c r="A85" s="2" t="s">
        <v>233</v>
      </c>
      <c r="B85" s="19" t="s">
        <v>211</v>
      </c>
      <c r="C85" s="2" t="s">
        <v>48</v>
      </c>
      <c r="D85" s="3" t="s">
        <v>39</v>
      </c>
      <c r="E85" s="4" t="n">
        <f aca="false">SUMPRODUCT((Bedaya!$B$2:$B$200="Karate Uniform")*(Bedaya!$D$2:$D$200="170cm"),Bedaya!$E$2:$E$200)</f>
        <v>3</v>
      </c>
      <c r="F85" s="20" t="n">
        <v>3</v>
      </c>
      <c r="G85" s="4" t="n">
        <f aca="false">IF(OR(E85="",F85=""),"",E85-F85)</f>
        <v>0</v>
      </c>
      <c r="H85" s="7" t="str">
        <f aca="false">IF(E85="","Not counted",IF(F85="","Not in Mindbody",IF(E85=F85,"Match",IF(E85&gt;F85,"Physical higher","Mindbody higher"))))</f>
        <v>Match</v>
      </c>
      <c r="I85" s="10"/>
    </row>
    <row r="86" customFormat="false" ht="15" hidden="false" customHeight="false" outlineLevel="0" collapsed="false">
      <c r="A86" s="2" t="s">
        <v>233</v>
      </c>
      <c r="B86" s="19" t="s">
        <v>212</v>
      </c>
      <c r="C86" s="2" t="s">
        <v>48</v>
      </c>
      <c r="D86" s="3" t="s">
        <v>38</v>
      </c>
      <c r="E86" s="4" t="n">
        <f aca="false">SUMPRODUCT((Bedaya!$B$2:$B$200="Karate Uniform")*(Bedaya!$D$2:$D$200="180cm"),Bedaya!$E$2:$E$200)</f>
        <v>1</v>
      </c>
      <c r="F86" s="20" t="n">
        <v>1</v>
      </c>
      <c r="G86" s="4" t="n">
        <f aca="false">IF(OR(E86="",F86=""),"",E86-F86)</f>
        <v>0</v>
      </c>
      <c r="H86" s="7" t="str">
        <f aca="false">IF(E86="","Not counted",IF(F86="","Not in Mindbody",IF(E86=F86,"Match",IF(E86&gt;F86,"Physical higher","Mindbody higher"))))</f>
        <v>Match</v>
      </c>
      <c r="I86" s="10"/>
    </row>
    <row r="87" customFormat="false" ht="15" hidden="false" customHeight="false" outlineLevel="0" collapsed="false">
      <c r="A87" s="2" t="s">
        <v>233</v>
      </c>
      <c r="B87" s="19" t="s">
        <v>235</v>
      </c>
      <c r="C87" s="2" t="s">
        <v>48</v>
      </c>
      <c r="D87" s="3" t="s">
        <v>36</v>
      </c>
      <c r="E87" s="4" t="n">
        <f aca="false">SUMPRODUCT((Bedaya!$B$2:$B$200="Karate Uniform")*(Bedaya!$D$2:$D$200="200cm"),Bedaya!$E$2:$E$200)</f>
        <v>1</v>
      </c>
      <c r="F87" s="20" t="n">
        <v>1</v>
      </c>
      <c r="G87" s="4" t="n">
        <f aca="false">IF(OR(E87="",F87=""),"",E87-F87)</f>
        <v>0</v>
      </c>
      <c r="H87" s="7" t="str">
        <f aca="false">IF(E87="","Not counted",IF(F87="","Not in Mindbody",IF(E87=F87,"Match",IF(E87&gt;F87,"Physical higher","Mindbody higher"))))</f>
        <v>Match</v>
      </c>
      <c r="I87" s="10"/>
    </row>
    <row r="88" customFormat="false" ht="15" hidden="false" customHeight="false" outlineLevel="0" collapsed="false">
      <c r="A88" s="2" t="s">
        <v>233</v>
      </c>
      <c r="B88" s="19" t="s">
        <v>213</v>
      </c>
      <c r="C88" s="2" t="s">
        <v>48</v>
      </c>
      <c r="D88" s="3" t="s">
        <v>37</v>
      </c>
      <c r="E88" s="4" t="n">
        <f aca="false">SUMPRODUCT((Bedaya!$B$2:$B$200="Karate Uniform")*(Bedaya!$D$2:$D$200="190cm"),Bedaya!$E$2:$E$200)</f>
        <v>2</v>
      </c>
      <c r="F88" s="20"/>
      <c r="G88" s="4" t="str">
        <f aca="false">IF(OR(E88="",F88=""),"",E88-F88)</f>
        <v/>
      </c>
      <c r="H88" s="7" t="str">
        <f aca="false">IF(E88="","Not counted",IF(F88="","Not in Mindbody",IF(E88=F88,"Match",IF(E88&gt;F88,"Physical higher","Mindbody higher"))))</f>
        <v>Not in Mindbody</v>
      </c>
      <c r="I88" s="10" t="s">
        <v>236</v>
      </c>
    </row>
    <row r="89" customFormat="false" ht="15" hidden="false" customHeight="false" outlineLevel="0" collapsed="false">
      <c r="A89" s="2" t="s">
        <v>237</v>
      </c>
      <c r="B89" s="19" t="s">
        <v>204</v>
      </c>
      <c r="C89" s="2" t="s">
        <v>47</v>
      </c>
      <c r="D89" s="3" t="s">
        <v>46</v>
      </c>
      <c r="E89" s="4" t="n">
        <f aca="false">SUMPRODUCT((Bedaya!$B$2:$B$200="Taekwondo Uniform")*(Bedaya!$D$2:$D$200="100cm"),Bedaya!$E$2:$E$200)</f>
        <v>6</v>
      </c>
      <c r="F89" s="20" t="n">
        <v>6</v>
      </c>
      <c r="G89" s="4" t="n">
        <f aca="false">IF(OR(E89="",F89=""),"",E89-F89)</f>
        <v>0</v>
      </c>
      <c r="H89" s="7" t="str">
        <f aca="false">IF(E89="","Not counted",IF(F89="","Not in Mindbody",IF(E89=F89,"Match",IF(E89&gt;F89,"Physical higher","Mindbody higher"))))</f>
        <v>Match</v>
      </c>
      <c r="I89" s="10"/>
    </row>
    <row r="90" customFormat="false" ht="15" hidden="false" customHeight="false" outlineLevel="0" collapsed="false">
      <c r="A90" s="2" t="s">
        <v>237</v>
      </c>
      <c r="B90" s="19" t="s">
        <v>205</v>
      </c>
      <c r="C90" s="2" t="s">
        <v>47</v>
      </c>
      <c r="D90" s="3" t="s">
        <v>45</v>
      </c>
      <c r="E90" s="4" t="n">
        <f aca="false">SUMPRODUCT((Bedaya!$B$2:$B$200="Taekwondo Uniform")*(Bedaya!$D$2:$D$200="110cm"),Bedaya!$E$2:$E$200)</f>
        <v>4</v>
      </c>
      <c r="F90" s="20" t="n">
        <v>4</v>
      </c>
      <c r="G90" s="4" t="n">
        <f aca="false">IF(OR(E90="",F90=""),"",E90-F90)</f>
        <v>0</v>
      </c>
      <c r="H90" s="7" t="str">
        <f aca="false">IF(E90="","Not counted",IF(F90="","Not in Mindbody",IF(E90=F90,"Match",IF(E90&gt;F90,"Physical higher","Mindbody higher"))))</f>
        <v>Match</v>
      </c>
      <c r="I90" s="10"/>
    </row>
    <row r="91" customFormat="false" ht="15" hidden="false" customHeight="false" outlineLevel="0" collapsed="false">
      <c r="A91" s="2" t="s">
        <v>237</v>
      </c>
      <c r="B91" s="19" t="s">
        <v>206</v>
      </c>
      <c r="C91" s="2" t="s">
        <v>47</v>
      </c>
      <c r="D91" s="3" t="s">
        <v>44</v>
      </c>
      <c r="E91" s="4" t="n">
        <f aca="false">SUMPRODUCT((Bedaya!$B$2:$B$200="Taekwondo Uniform")*(Bedaya!$D$2:$D$200="120cm"),Bedaya!$E$2:$E$200)</f>
        <v>7</v>
      </c>
      <c r="F91" s="20" t="n">
        <v>7</v>
      </c>
      <c r="G91" s="4" t="n">
        <f aca="false">IF(OR(E91="",F91=""),"",E91-F91)</f>
        <v>0</v>
      </c>
      <c r="H91" s="7" t="str">
        <f aca="false">IF(E91="","Not counted",IF(F91="","Not in Mindbody",IF(E91=F91,"Match",IF(E91&gt;F91,"Physical higher","Mindbody higher"))))</f>
        <v>Match</v>
      </c>
      <c r="I91" s="10"/>
    </row>
    <row r="92" customFormat="false" ht="15" hidden="false" customHeight="false" outlineLevel="0" collapsed="false">
      <c r="A92" s="2" t="s">
        <v>237</v>
      </c>
      <c r="B92" s="19" t="s">
        <v>207</v>
      </c>
      <c r="C92" s="2" t="s">
        <v>47</v>
      </c>
      <c r="D92" s="3" t="s">
        <v>43</v>
      </c>
      <c r="E92" s="4" t="n">
        <f aca="false">SUMPRODUCT((Bedaya!$B$2:$B$200="Taekwondo Uniform")*(Bedaya!$D$2:$D$200="130cm"),Bedaya!$E$2:$E$200)</f>
        <v>3</v>
      </c>
      <c r="F92" s="20" t="n">
        <v>3</v>
      </c>
      <c r="G92" s="4" t="n">
        <f aca="false">IF(OR(E92="",F92=""),"",E92-F92)</f>
        <v>0</v>
      </c>
      <c r="H92" s="7" t="str">
        <f aca="false">IF(E92="","Not counted",IF(F92="","Not in Mindbody",IF(E92=F92,"Match",IF(E92&gt;F92,"Physical higher","Mindbody higher"))))</f>
        <v>Match</v>
      </c>
      <c r="I92" s="10"/>
    </row>
    <row r="93" customFormat="false" ht="15" hidden="false" customHeight="false" outlineLevel="0" collapsed="false">
      <c r="A93" s="2" t="s">
        <v>237</v>
      </c>
      <c r="B93" s="19" t="s">
        <v>208</v>
      </c>
      <c r="C93" s="2" t="s">
        <v>47</v>
      </c>
      <c r="D93" s="3" t="s">
        <v>42</v>
      </c>
      <c r="E93" s="4" t="n">
        <f aca="false">SUMPRODUCT((Bedaya!$B$2:$B$200="Taekwondo Uniform")*(Bedaya!$D$2:$D$200="140cm"),Bedaya!$E$2:$E$200)</f>
        <v>7</v>
      </c>
      <c r="F93" s="20" t="n">
        <v>7</v>
      </c>
      <c r="G93" s="4" t="n">
        <f aca="false">IF(OR(E93="",F93=""),"",E93-F93)</f>
        <v>0</v>
      </c>
      <c r="H93" s="7" t="str">
        <f aca="false">IF(E93="","Not counted",IF(F93="","Not in Mindbody",IF(E93=F93,"Match",IF(E93&gt;F93,"Physical higher","Mindbody higher"))))</f>
        <v>Match</v>
      </c>
      <c r="I93" s="10"/>
    </row>
    <row r="94" customFormat="false" ht="15" hidden="false" customHeight="false" outlineLevel="0" collapsed="false">
      <c r="A94" s="2" t="s">
        <v>237</v>
      </c>
      <c r="B94" s="19" t="s">
        <v>209</v>
      </c>
      <c r="C94" s="2" t="s">
        <v>47</v>
      </c>
      <c r="D94" s="3" t="s">
        <v>41</v>
      </c>
      <c r="E94" s="4" t="n">
        <f aca="false">SUMPRODUCT((Bedaya!$B$2:$B$200="Taekwondo Uniform")*(Bedaya!$D$2:$D$200="150cm"),Bedaya!$E$2:$E$200)</f>
        <v>3</v>
      </c>
      <c r="F94" s="20" t="n">
        <v>5</v>
      </c>
      <c r="G94" s="4" t="n">
        <f aca="false">IF(OR(E94="",F94=""),"",E94-F94)</f>
        <v>-2</v>
      </c>
      <c r="H94" s="7" t="str">
        <f aca="false">IF(E94="","Not counted",IF(F94="","Not in Mindbody",IF(E94=F94,"Match",IF(E94&gt;F94,"Physical higher","Mindbody higher"))))</f>
        <v>Mindbody higher</v>
      </c>
      <c r="I94" s="10"/>
    </row>
    <row r="95" customFormat="false" ht="15" hidden="false" customHeight="false" outlineLevel="0" collapsed="false">
      <c r="A95" s="2" t="s">
        <v>237</v>
      </c>
      <c r="B95" s="19" t="s">
        <v>210</v>
      </c>
      <c r="C95" s="2" t="s">
        <v>47</v>
      </c>
      <c r="D95" s="3" t="s">
        <v>40</v>
      </c>
      <c r="E95" s="4" t="n">
        <f aca="false">SUMPRODUCT((Bedaya!$B$2:$B$200="Taekwondo Uniform")*(Bedaya!$D$2:$D$200="160cm"),Bedaya!$E$2:$E$200)</f>
        <v>5</v>
      </c>
      <c r="F95" s="20" t="n">
        <v>5</v>
      </c>
      <c r="G95" s="4" t="n">
        <f aca="false">IF(OR(E95="",F95=""),"",E95-F95)</f>
        <v>0</v>
      </c>
      <c r="H95" s="7" t="str">
        <f aca="false">IF(E95="","Not counted",IF(F95="","Not in Mindbody",IF(E95=F95,"Match",IF(E95&gt;F95,"Physical higher","Mindbody higher"))))</f>
        <v>Match</v>
      </c>
      <c r="I95" s="10"/>
    </row>
    <row r="96" customFormat="false" ht="15" hidden="false" customHeight="false" outlineLevel="0" collapsed="false">
      <c r="A96" s="2" t="s">
        <v>237</v>
      </c>
      <c r="B96" s="19" t="s">
        <v>211</v>
      </c>
      <c r="C96" s="2" t="s">
        <v>47</v>
      </c>
      <c r="D96" s="3" t="s">
        <v>39</v>
      </c>
      <c r="E96" s="4" t="n">
        <f aca="false">SUMPRODUCT((Bedaya!$B$2:$B$200="Taekwondo Uniform")*(Bedaya!$D$2:$D$200="170cm"),Bedaya!$E$2:$E$200)</f>
        <v>3</v>
      </c>
      <c r="F96" s="20" t="n">
        <v>3</v>
      </c>
      <c r="G96" s="4" t="n">
        <f aca="false">IF(OR(E96="",F96=""),"",E96-F96)</f>
        <v>0</v>
      </c>
      <c r="H96" s="7" t="str">
        <f aca="false">IF(E96="","Not counted",IF(F96="","Not in Mindbody",IF(E96=F96,"Match",IF(E96&gt;F96,"Physical higher","Mindbody higher"))))</f>
        <v>Match</v>
      </c>
      <c r="I96" s="10"/>
    </row>
    <row r="97" customFormat="false" ht="15" hidden="false" customHeight="false" outlineLevel="0" collapsed="false">
      <c r="A97" s="2" t="s">
        <v>237</v>
      </c>
      <c r="B97" s="19" t="s">
        <v>212</v>
      </c>
      <c r="C97" s="2" t="s">
        <v>47</v>
      </c>
      <c r="D97" s="3" t="s">
        <v>38</v>
      </c>
      <c r="E97" s="4" t="n">
        <f aca="false">SUMPRODUCT((Bedaya!$B$2:$B$200="Taekwondo Uniform")*(Bedaya!$D$2:$D$200="180cm"),Bedaya!$E$2:$E$200)</f>
        <v>1</v>
      </c>
      <c r="F97" s="20" t="n">
        <v>1</v>
      </c>
      <c r="G97" s="4" t="n">
        <f aca="false">IF(OR(E97="",F97=""),"",E97-F97)</f>
        <v>0</v>
      </c>
      <c r="H97" s="7" t="str">
        <f aca="false">IF(E97="","Not counted",IF(F97="","Not in Mindbody",IF(E97=F97,"Match",IF(E97&gt;F97,"Physical higher","Mindbody higher"))))</f>
        <v>Match</v>
      </c>
      <c r="I97" s="10"/>
    </row>
    <row r="98" customFormat="false" ht="15" hidden="false" customHeight="false" outlineLevel="0" collapsed="false">
      <c r="A98" s="2" t="s">
        <v>237</v>
      </c>
      <c r="B98" s="19" t="s">
        <v>238</v>
      </c>
      <c r="C98" s="2" t="s">
        <v>47</v>
      </c>
      <c r="D98" s="3" t="s">
        <v>37</v>
      </c>
      <c r="E98" s="4" t="n">
        <f aca="false">SUMPRODUCT((Bedaya!$B$2:$B$200="Taekwondo Uniform")*(Bedaya!$D$2:$D$200="190cm"),Bedaya!$E$2:$E$200)</f>
        <v>1</v>
      </c>
      <c r="F98" s="20" t="n">
        <v>1</v>
      </c>
      <c r="G98" s="4" t="n">
        <f aca="false">IF(OR(E98="",F98=""),"",E98-F98)</f>
        <v>0</v>
      </c>
      <c r="H98" s="7" t="str">
        <f aca="false">IF(E98="","Not counted",IF(F98="","Not in Mindbody",IF(E98=F98,"Match",IF(E98&gt;F98,"Physical higher","Mindbody higher"))))</f>
        <v>Match</v>
      </c>
      <c r="I98" s="10"/>
    </row>
    <row r="99" customFormat="false" ht="23.85" hidden="false" customHeight="false" outlineLevel="0" collapsed="false">
      <c r="A99" s="2" t="s">
        <v>15</v>
      </c>
      <c r="B99" s="19" t="s">
        <v>218</v>
      </c>
      <c r="C99" s="2" t="s">
        <v>15</v>
      </c>
      <c r="D99" s="3" t="s">
        <v>9</v>
      </c>
      <c r="E99" s="4" t="n">
        <f aca="false">SUMPRODUCT((Bedaya!$B$2:$B$200="Shin Guard")*(Bedaya!$D$2:$D$200="XS"),Bedaya!$E$2:$E$200)</f>
        <v>0</v>
      </c>
      <c r="F99" s="20" t="n">
        <v>2</v>
      </c>
      <c r="G99" s="4" t="n">
        <f aca="false">IF(OR(E99="",F99=""),"",E99-F99)</f>
        <v>-2</v>
      </c>
      <c r="H99" s="7" t="str">
        <f aca="false">IF(E99="","Not counted",IF(F99="","Not in Mindbody",IF(E99=F99,"Match",IF(E99&gt;F99,"Physical higher","Mindbody higher"))))</f>
        <v>Mindbody higher</v>
      </c>
      <c r="I99" s="10" t="s">
        <v>161</v>
      </c>
    </row>
    <row r="100" customFormat="false" ht="23.85" hidden="false" customHeight="false" outlineLevel="0" collapsed="false">
      <c r="A100" s="2" t="s">
        <v>15</v>
      </c>
      <c r="B100" s="19" t="s">
        <v>8</v>
      </c>
      <c r="C100" s="2" t="s">
        <v>15</v>
      </c>
      <c r="D100" s="3" t="s">
        <v>14</v>
      </c>
      <c r="E100" s="4" t="n">
        <f aca="false">SUMPRODUCT((Bedaya!$B$2:$B$200="Shin Guard")*(Bedaya!$D$2:$D$200="S"),Bedaya!$E$2:$E$200)</f>
        <v>0</v>
      </c>
      <c r="F100" s="20" t="n">
        <v>1</v>
      </c>
      <c r="G100" s="4" t="n">
        <f aca="false">IF(OR(E100="",F100=""),"",E100-F100)</f>
        <v>-1</v>
      </c>
      <c r="H100" s="7" t="str">
        <f aca="false">IF(E100="","Not counted",IF(F100="","Not in Mindbody",IF(E100=F100,"Match",IF(E100&gt;F100,"Physical higher","Mindbody higher"))))</f>
        <v>Mindbody higher</v>
      </c>
      <c r="I100" s="10" t="s">
        <v>161</v>
      </c>
    </row>
    <row r="101" customFormat="false" ht="23.85" hidden="false" customHeight="false" outlineLevel="0" collapsed="false">
      <c r="A101" s="2" t="s">
        <v>15</v>
      </c>
      <c r="B101" s="19" t="s">
        <v>181</v>
      </c>
      <c r="C101" s="2" t="s">
        <v>15</v>
      </c>
      <c r="D101" s="3" t="s">
        <v>13</v>
      </c>
      <c r="E101" s="4" t="n">
        <f aca="false">SUMPRODUCT((Bedaya!$B$2:$B$200="Shin Guard")*(Bedaya!$D$2:$D$200="M"),Bedaya!$E$2:$E$200)</f>
        <v>-1</v>
      </c>
      <c r="F101" s="20" t="n">
        <v>1</v>
      </c>
      <c r="G101" s="4" t="n">
        <f aca="false">IF(OR(E101="",F101=""),"",E101-F101)</f>
        <v>-2</v>
      </c>
      <c r="H101" s="7" t="str">
        <f aca="false">IF(E101="","Not counted",IF(F101="","Not in Mindbody",IF(E101=F101,"Match",IF(E101&gt;F101,"Physical higher","Mindbody higher"))))</f>
        <v>Mindbody higher</v>
      </c>
      <c r="I101" s="10" t="s">
        <v>161</v>
      </c>
    </row>
    <row r="102" customFormat="false" ht="23.85" hidden="false" customHeight="false" outlineLevel="0" collapsed="false">
      <c r="A102" s="2" t="s">
        <v>15</v>
      </c>
      <c r="B102" s="19" t="s">
        <v>174</v>
      </c>
      <c r="C102" s="2" t="s">
        <v>15</v>
      </c>
      <c r="D102" s="3" t="s">
        <v>17</v>
      </c>
      <c r="E102" s="4" t="n">
        <f aca="false">SUMPRODUCT((Bedaya!$B$2:$B$200="Shin Guard")*(Bedaya!$D$2:$D$200="L"),Bedaya!$E$2:$E$200)</f>
        <v>0</v>
      </c>
      <c r="F102" s="20" t="n">
        <v>2</v>
      </c>
      <c r="G102" s="4" t="n">
        <f aca="false">IF(OR(E102="",F102=""),"",E102-F102)</f>
        <v>-2</v>
      </c>
      <c r="H102" s="7" t="str">
        <f aca="false">IF(E102="","Not counted",IF(F102="","Not in Mindbody",IF(E102=F102,"Match",IF(E102&gt;F102,"Physical higher","Mindbody higher"))))</f>
        <v>Mindbody higher</v>
      </c>
      <c r="I102" s="10" t="s">
        <v>161</v>
      </c>
    </row>
    <row r="103" customFormat="false" ht="23.85" hidden="false" customHeight="false" outlineLevel="0" collapsed="false">
      <c r="A103" s="2" t="s">
        <v>15</v>
      </c>
      <c r="B103" s="19" t="s">
        <v>239</v>
      </c>
      <c r="C103" s="2" t="s">
        <v>15</v>
      </c>
      <c r="D103" s="3" t="s">
        <v>16</v>
      </c>
      <c r="E103" s="4" t="n">
        <f aca="false">SUMPRODUCT((Bedaya!$B$2:$B$200="Shin Guard")*(Bedaya!$D$2:$D$200="XL"),Bedaya!$E$2:$E$200)</f>
        <v>-1</v>
      </c>
      <c r="F103" s="20" t="n">
        <v>1</v>
      </c>
      <c r="G103" s="4" t="n">
        <f aca="false">IF(OR(E103="",F103=""),"",E103-F103)</f>
        <v>-2</v>
      </c>
      <c r="H103" s="7" t="str">
        <f aca="false">IF(E103="","Not counted",IF(F103="","Not in Mindbody",IF(E103=F103,"Match",IF(E103&gt;F103,"Physical higher","Mindbody higher"))))</f>
        <v>Mindbody higher</v>
      </c>
      <c r="I103" s="10" t="s">
        <v>161</v>
      </c>
    </row>
    <row r="104" customFormat="false" ht="15" hidden="false" customHeight="false" outlineLevel="0" collapsed="false">
      <c r="A104" s="2" t="s">
        <v>240</v>
      </c>
      <c r="B104" s="19" t="s">
        <v>182</v>
      </c>
      <c r="C104" s="2"/>
      <c r="D104" s="3"/>
      <c r="E104" s="4"/>
      <c r="F104" s="20" t="n">
        <v>1</v>
      </c>
      <c r="G104" s="4" t="str">
        <f aca="false">IF(OR(E104="",F104=""),"",E104-F104)</f>
        <v/>
      </c>
      <c r="H104" s="7" t="str">
        <f aca="false">IF(E104="","Not counted",IF(F104="","Not in Mindbody",IF(E104=F104,"Match",IF(E104&gt;F104,"Physical higher","Mindbody higher"))))</f>
        <v>Not counted</v>
      </c>
      <c r="I104" s="10" t="s">
        <v>170</v>
      </c>
    </row>
    <row r="105" customFormat="false" ht="15" hidden="false" customHeight="false" outlineLevel="0" collapsed="false">
      <c r="A105" s="2" t="s">
        <v>12</v>
      </c>
      <c r="B105" s="19" t="s">
        <v>241</v>
      </c>
      <c r="C105" s="2" t="s">
        <v>12</v>
      </c>
      <c r="D105" s="3" t="s">
        <v>13</v>
      </c>
      <c r="E105" s="4" t="n">
        <f aca="false">SUMPRODUCT((Bedaya!$B$2:$B$200="Supporter")*(Bedaya!$D$2:$D$200="M"),Bedaya!$E$2:$E$200)</f>
        <v>7</v>
      </c>
      <c r="F105" s="20"/>
      <c r="G105" s="4" t="str">
        <f aca="false">IF(OR(E105="",F105=""),"",E105-F105)</f>
        <v/>
      </c>
      <c r="H105" s="7" t="str">
        <f aca="false">IF(E105="","Not counted",IF(F105="","Not in Mindbody",IF(E105=F105,"Match",IF(E105&gt;F105,"Physical higher","Mindbody higher"))))</f>
        <v>Not in Mindbody</v>
      </c>
      <c r="I105" s="10" t="s">
        <v>242</v>
      </c>
    </row>
    <row r="106" customFormat="false" ht="15" hidden="false" customHeight="false" outlineLevel="0" collapsed="false">
      <c r="A106" s="2" t="s">
        <v>12</v>
      </c>
      <c r="B106" s="19" t="s">
        <v>241</v>
      </c>
      <c r="C106" s="2" t="s">
        <v>12</v>
      </c>
      <c r="D106" s="3" t="s">
        <v>14</v>
      </c>
      <c r="E106" s="4" t="n">
        <f aca="false">SUMPRODUCT((Bedaya!$B$2:$B$200="Supporter")*(Bedaya!$D$2:$D$200="S"),Bedaya!$E$2:$E$200)</f>
        <v>9</v>
      </c>
      <c r="F106" s="20"/>
      <c r="G106" s="4" t="str">
        <f aca="false">IF(OR(E106="",F106=""),"",E106-F106)</f>
        <v/>
      </c>
      <c r="H106" s="7" t="str">
        <f aca="false">IF(E106="","Not counted",IF(F106="","Not in Mindbody",IF(E106=F106,"Match",IF(E106&gt;F106,"Physical higher","Mindbody higher"))))</f>
        <v>Not in Mindbody</v>
      </c>
      <c r="I106" s="10" t="s">
        <v>242</v>
      </c>
    </row>
    <row r="107" customFormat="false" ht="15" hidden="false" customHeight="false" outlineLevel="0" collapsed="false">
      <c r="A107" s="2" t="s">
        <v>243</v>
      </c>
      <c r="B107" s="19" t="s">
        <v>244</v>
      </c>
      <c r="C107" s="2"/>
      <c r="D107" s="3"/>
      <c r="E107" s="4"/>
      <c r="F107" s="20" t="n">
        <v>86</v>
      </c>
      <c r="G107" s="4" t="str">
        <f aca="false">IF(OR(E107="",F107=""),"",E107-F107)</f>
        <v/>
      </c>
      <c r="H107" s="7" t="str">
        <f aca="false">IF(E107="","Not counted",IF(F107="","Not in Mindbody",IF(E107=F107,"Match",IF(E107&gt;F107,"Physical higher","Mindbody higher"))))</f>
        <v>Not counted</v>
      </c>
      <c r="I107" s="10" t="s">
        <v>170</v>
      </c>
    </row>
    <row r="108" customFormat="false" ht="15" hidden="false" customHeight="false" outlineLevel="0" collapsed="false">
      <c r="A108" s="2" t="s">
        <v>243</v>
      </c>
      <c r="B108" s="19" t="s">
        <v>245</v>
      </c>
      <c r="C108" s="2" t="s">
        <v>70</v>
      </c>
      <c r="D108" s="3" t="s">
        <v>16</v>
      </c>
      <c r="E108" s="4" t="n">
        <f aca="false">SUMPRODUCT((Bedaya!$B$2:$B$200="Systema T-shirt (Gray)")*(Bedaya!$D$2:$D$200="XL"),Bedaya!$E$2:$E$200)</f>
        <v>1</v>
      </c>
      <c r="F108" s="20" t="n">
        <v>0</v>
      </c>
      <c r="G108" s="4" t="n">
        <f aca="false">IF(OR(E108="",F108=""),"",E108-F108)</f>
        <v>1</v>
      </c>
      <c r="H108" s="7" t="str">
        <f aca="false">IF(E108="","Not counted",IF(F108="","Not in Mindbody",IF(E108=F108,"Match",IF(E108&gt;F108,"Physical higher","Mindbody higher"))))</f>
        <v>Physical higher</v>
      </c>
      <c r="I108" s="10"/>
    </row>
    <row r="109" customFormat="false" ht="15" hidden="false" customHeight="false" outlineLevel="0" collapsed="false">
      <c r="A109" s="2" t="s">
        <v>243</v>
      </c>
      <c r="B109" s="19" t="s">
        <v>246</v>
      </c>
      <c r="C109" s="2" t="s">
        <v>70</v>
      </c>
      <c r="D109" s="3" t="s">
        <v>13</v>
      </c>
      <c r="E109" s="4" t="n">
        <f aca="false">SUMPRODUCT((Bedaya!$B$2:$B$200="Systema T-shirt (Gray)")*(Bedaya!$D$2:$D$200="M"),Bedaya!$E$2:$E$200)</f>
        <v>1</v>
      </c>
      <c r="F109" s="20"/>
      <c r="G109" s="4" t="str">
        <f aca="false">IF(OR(E109="",F109=""),"",E109-F109)</f>
        <v/>
      </c>
      <c r="H109" s="7" t="str">
        <f aca="false">IF(E109="","Not counted",IF(F109="","Not in Mindbody",IF(E109=F109,"Match",IF(E109&gt;F109,"Physical higher","Mindbody higher"))))</f>
        <v>Not in Mindbody</v>
      </c>
      <c r="I109" s="10" t="s">
        <v>247</v>
      </c>
    </row>
    <row r="110" customFormat="false" ht="15" hidden="false" customHeight="false" outlineLevel="0" collapsed="false">
      <c r="A110" s="2" t="s">
        <v>243</v>
      </c>
      <c r="B110" s="19" t="s">
        <v>248</v>
      </c>
      <c r="C110" s="2" t="s">
        <v>70</v>
      </c>
      <c r="D110" s="3" t="s">
        <v>14</v>
      </c>
      <c r="E110" s="4" t="n">
        <f aca="false">SUMPRODUCT((Bedaya!$B$2:$B$200="Systema T-shirt (Gray)")*(Bedaya!$D$2:$D$200="S"),Bedaya!$E$2:$E$200)</f>
        <v>1</v>
      </c>
      <c r="F110" s="20"/>
      <c r="G110" s="4" t="str">
        <f aca="false">IF(OR(E110="",F110=""),"",E110-F110)</f>
        <v/>
      </c>
      <c r="H110" s="7" t="str">
        <f aca="false">IF(E110="","Not counted",IF(F110="","Not in Mindbody",IF(E110=F110,"Match",IF(E110&gt;F110,"Physical higher","Mindbody higher"))))</f>
        <v>Not in Mindbody</v>
      </c>
      <c r="I110" s="10" t="s">
        <v>247</v>
      </c>
    </row>
    <row r="111" customFormat="false" ht="15" hidden="false" customHeight="false" outlineLevel="0" collapsed="false">
      <c r="A111" s="2" t="s">
        <v>249</v>
      </c>
      <c r="B111" s="19" t="s">
        <v>169</v>
      </c>
      <c r="C111" s="2"/>
      <c r="D111" s="3"/>
      <c r="E111" s="4"/>
      <c r="F111" s="20" t="n">
        <v>-11</v>
      </c>
      <c r="G111" s="4" t="str">
        <f aca="false">IF(OR(E111="",F111=""),"",E111-F111)</f>
        <v/>
      </c>
      <c r="H111" s="7" t="str">
        <f aca="false">IF(E111="","Not counted",IF(F111="","Not in Mindbody",IF(E111=F111,"Match",IF(E111&gt;F111,"Physical higher","Mindbody higher"))))</f>
        <v>Not counted</v>
      </c>
      <c r="I111" s="10" t="s">
        <v>220</v>
      </c>
    </row>
    <row r="112" customFormat="false" ht="15" hidden="false" customHeight="false" outlineLevel="0" collapsed="false">
      <c r="A112" s="2" t="s">
        <v>25</v>
      </c>
      <c r="B112" s="19" t="s">
        <v>174</v>
      </c>
      <c r="C112" s="2" t="s">
        <v>25</v>
      </c>
      <c r="D112" s="3" t="s">
        <v>21</v>
      </c>
      <c r="E112" s="4" t="n">
        <f aca="false">SUMPRODUCT((Bedaya!$B$2:$B$200="UFC Gloves")*(Bedaya!$D$2:$D$200="8oz"),Bedaya!$E$2:$E$200)</f>
        <v>3</v>
      </c>
      <c r="F112" s="20" t="n">
        <v>3</v>
      </c>
      <c r="G112" s="4" t="n">
        <f aca="false">IF(OR(E112="",F112=""),"",E112-F112)</f>
        <v>0</v>
      </c>
      <c r="H112" s="7" t="str">
        <f aca="false">IF(E112="","Not counted",IF(F112="","Not in Mindbody",IF(E112=F112,"Match",IF(E112&gt;F112,"Physical higher","Mindbody higher"))))</f>
        <v>Match</v>
      </c>
      <c r="I112" s="10" t="s">
        <v>250</v>
      </c>
    </row>
    <row r="113" customFormat="false" ht="15" hidden="false" customHeight="false" outlineLevel="0" collapsed="false">
      <c r="A113" s="2" t="s">
        <v>86</v>
      </c>
      <c r="B113" s="19" t="s">
        <v>87</v>
      </c>
      <c r="C113" s="2"/>
      <c r="D113" s="3"/>
      <c r="E113" s="4"/>
      <c r="F113" s="20" t="n">
        <v>27</v>
      </c>
      <c r="G113" s="4" t="str">
        <f aca="false">IF(OR(E113="",F113=""),"",E113-F113)</f>
        <v/>
      </c>
      <c r="H113" s="7" t="str">
        <f aca="false">IF(E113="","Not counted",IF(F113="","Not in Mindbody",IF(E113=F113,"Match",IF(E113&gt;F113,"Physical higher","Mindbody higher"))))</f>
        <v>Not counted</v>
      </c>
      <c r="I113" s="10" t="s">
        <v>170</v>
      </c>
    </row>
    <row r="114" customFormat="false" ht="15" hidden="false" customHeight="false" outlineLevel="0" collapsed="false">
      <c r="A114" s="2" t="s">
        <v>86</v>
      </c>
      <c r="B114" s="19" t="s">
        <v>88</v>
      </c>
      <c r="C114" s="2"/>
      <c r="D114" s="3"/>
      <c r="E114" s="4"/>
      <c r="F114" s="20" t="n">
        <v>15</v>
      </c>
      <c r="G114" s="4" t="str">
        <f aca="false">IF(OR(E114="",F114=""),"",E114-F114)</f>
        <v/>
      </c>
      <c r="H114" s="7" t="str">
        <f aca="false">IF(E114="","Not counted",IF(F114="","Not in Mindbody",IF(E114=F114,"Match",IF(E114&gt;F114,"Physical higher","Mindbody higher"))))</f>
        <v>Not counted</v>
      </c>
      <c r="I114" s="10" t="s">
        <v>170</v>
      </c>
    </row>
    <row r="115" customFormat="false" ht="15" hidden="false" customHeight="false" outlineLevel="0" collapsed="false">
      <c r="A115" s="2" t="s">
        <v>251</v>
      </c>
      <c r="B115" s="19" t="s">
        <v>252</v>
      </c>
      <c r="C115" s="2" t="s">
        <v>253</v>
      </c>
      <c r="D115" s="3" t="s">
        <v>44</v>
      </c>
      <c r="E115" s="4" t="n">
        <f aca="false">SUMPRODUCT(('Old Stock - No Logo'!$B$2:$B$200="Karate Uniform (No Logo)")*('Old Stock - No Logo'!$D$2:$D$200="120cm"),'Old Stock - No Logo'!$E$2:$E$200)</f>
        <v>48</v>
      </c>
      <c r="F115" s="20"/>
      <c r="G115" s="4" t="str">
        <f aca="false">IF(OR(E115="",F115=""),"",E115-F115)</f>
        <v/>
      </c>
      <c r="H115" s="7" t="str">
        <f aca="false">IF(E115="","Not counted",IF(F115="","Not in Mindbody",IF(E115=F115,"Match",IF(E115&gt;F115,"Physical higher","Mindbody higher"))))</f>
        <v>Not in Mindbody</v>
      </c>
      <c r="I115" s="10" t="s">
        <v>254</v>
      </c>
    </row>
    <row r="116" customFormat="false" ht="15" hidden="false" customHeight="false" outlineLevel="0" collapsed="false">
      <c r="A116" s="2" t="s">
        <v>251</v>
      </c>
      <c r="B116" s="19" t="s">
        <v>255</v>
      </c>
      <c r="C116" s="2" t="s">
        <v>253</v>
      </c>
      <c r="D116" s="3" t="s">
        <v>45</v>
      </c>
      <c r="E116" s="4" t="n">
        <f aca="false">SUMPRODUCT(('Old Stock - No Logo'!$B$2:$B$200="Karate Uniform (No Logo)")*('Old Stock - No Logo'!$D$2:$D$200="110cm"),'Old Stock - No Logo'!$E$2:$E$200)</f>
        <v>95</v>
      </c>
      <c r="F116" s="20"/>
      <c r="G116" s="4" t="str">
        <f aca="false">IF(OR(E116="",F116=""),"",E116-F116)</f>
        <v/>
      </c>
      <c r="H116" s="7" t="str">
        <f aca="false">IF(E116="","Not counted",IF(F116="","Not in Mindbody",IF(E116=F116,"Match",IF(E116&gt;F116,"Physical higher","Mindbody higher"))))</f>
        <v>Not in Mindbody</v>
      </c>
      <c r="I116" s="10" t="s">
        <v>254</v>
      </c>
    </row>
    <row r="117" customFormat="false" ht="15" hidden="false" customHeight="false" outlineLevel="0" collapsed="false">
      <c r="A117" s="2" t="s">
        <v>251</v>
      </c>
      <c r="B117" s="19" t="s">
        <v>256</v>
      </c>
      <c r="C117" s="2" t="s">
        <v>253</v>
      </c>
      <c r="D117" s="3" t="s">
        <v>46</v>
      </c>
      <c r="E117" s="4" t="n">
        <f aca="false">SUMPRODUCT(('Old Stock - No Logo'!$B$2:$B$200="Karate Uniform (No Logo)")*('Old Stock - No Logo'!$D$2:$D$200="100cm"),'Old Stock - No Logo'!$E$2:$E$200)</f>
        <v>40</v>
      </c>
      <c r="F117" s="20"/>
      <c r="G117" s="4" t="str">
        <f aca="false">IF(OR(E117="",F117=""),"",E117-F117)</f>
        <v/>
      </c>
      <c r="H117" s="7" t="str">
        <f aca="false">IF(E117="","Not counted",IF(F117="","Not in Mindbody",IF(E117=F117,"Match",IF(E117&gt;F117,"Physical higher","Mindbody higher"))))</f>
        <v>Not in Mindbody</v>
      </c>
      <c r="I117" s="10" t="s">
        <v>254</v>
      </c>
    </row>
    <row r="118" customFormat="false" ht="15" hidden="false" customHeight="false" outlineLevel="0" collapsed="false">
      <c r="A118" s="2" t="s">
        <v>251</v>
      </c>
      <c r="B118" s="19" t="s">
        <v>257</v>
      </c>
      <c r="C118" s="2" t="s">
        <v>258</v>
      </c>
      <c r="D118" s="3" t="s">
        <v>45</v>
      </c>
      <c r="E118" s="4" t="n">
        <f aca="false">SUMPRODUCT(('Old Stock - No Logo'!$B$2:$B$200="Taekwondo Uniform (Old)")*('Old Stock - No Logo'!$D$2:$D$200="110cm"),'Old Stock - No Logo'!$E$2:$E$200)</f>
        <v>10</v>
      </c>
      <c r="F118" s="20"/>
      <c r="G118" s="4" t="str">
        <f aca="false">IF(OR(E118="",F118=""),"",E118-F118)</f>
        <v/>
      </c>
      <c r="H118" s="7" t="str">
        <f aca="false">IF(E118="","Not counted",IF(F118="","Not in Mindbody",IF(E118=F118,"Match",IF(E118&gt;F118,"Physical higher","Mindbody higher"))))</f>
        <v>Not in Mindbody</v>
      </c>
      <c r="I118" s="10" t="s">
        <v>254</v>
      </c>
    </row>
    <row r="119" customFormat="false" ht="15" hidden="false" customHeight="false" outlineLevel="0" collapsed="false">
      <c r="A119" s="2" t="s">
        <v>251</v>
      </c>
      <c r="B119" s="19" t="s">
        <v>259</v>
      </c>
      <c r="C119" s="2" t="s">
        <v>258</v>
      </c>
      <c r="D119" s="3" t="s">
        <v>46</v>
      </c>
      <c r="E119" s="4" t="n">
        <f aca="false">SUMPRODUCT(('Old Stock - No Logo'!$B$2:$B$200="Taekwondo Uniform (Old)")*('Old Stock - No Logo'!$D$2:$D$200="100cm"),'Old Stock - No Logo'!$E$2:$E$200)</f>
        <v>13</v>
      </c>
      <c r="F119" s="20"/>
      <c r="G119" s="4" t="str">
        <f aca="false">IF(OR(E119="",F119=""),"",E119-F119)</f>
        <v/>
      </c>
      <c r="H119" s="7" t="str">
        <f aca="false">IF(E119="","Not counted",IF(F119="","Not in Mindbody",IF(E119=F119,"Match",IF(E119&gt;F119,"Physical higher","Mindbody higher"))))</f>
        <v>Not in Mindbody</v>
      </c>
      <c r="I119" s="10" t="s">
        <v>254</v>
      </c>
    </row>
    <row r="120" customFormat="false" ht="15" hidden="false" customHeight="false" outlineLevel="0" collapsed="false">
      <c r="A120" s="2" t="s">
        <v>251</v>
      </c>
      <c r="B120" s="19" t="s">
        <v>260</v>
      </c>
      <c r="C120" s="2" t="s">
        <v>258</v>
      </c>
      <c r="D120" s="3" t="s">
        <v>261</v>
      </c>
      <c r="E120" s="4" t="n">
        <f aca="false">SUMPRODUCT(('Old Stock - No Logo'!$B$2:$B$200="Taekwondo Uniform (Old)")*('Old Stock - No Logo'!$D$2:$D$200="130cm (upper only)"),'Old Stock - No Logo'!$E$2:$E$200)</f>
        <v>1</v>
      </c>
      <c r="F120" s="20"/>
      <c r="G120" s="4" t="str">
        <f aca="false">IF(OR(E120="",F120=""),"",E120-F120)</f>
        <v/>
      </c>
      <c r="H120" s="7" t="str">
        <f aca="false">IF(E120="","Not counted",IF(F120="","Not in Mindbody",IF(E120=F120,"Match",IF(E120&gt;F120,"Physical higher","Mindbody higher"))))</f>
        <v>Not in Mindbody</v>
      </c>
      <c r="I120" s="10" t="s">
        <v>254</v>
      </c>
    </row>
    <row r="121" customFormat="false" ht="15" hidden="false" customHeight="false" outlineLevel="0" collapsed="false">
      <c r="A121" s="2" t="s">
        <v>251</v>
      </c>
      <c r="B121" s="19" t="s">
        <v>262</v>
      </c>
      <c r="C121" s="2" t="s">
        <v>263</v>
      </c>
      <c r="D121" s="3" t="s">
        <v>42</v>
      </c>
      <c r="E121" s="4" t="n">
        <f aca="false">SUMPRODUCT(('No Program'!$B$2:$B$200="Judo Uniform (With Logo)")*('No Program'!$D$2:$D$200="140cm"),'No Program'!$E$2:$E$200)</f>
        <v>12</v>
      </c>
      <c r="F121" s="20"/>
      <c r="G121" s="4" t="str">
        <f aca="false">IF(OR(E121="",F121=""),"",E121-F121)</f>
        <v/>
      </c>
      <c r="H121" s="7" t="str">
        <f aca="false">IF(E121="","Not counted",IF(F121="","Not in Mindbody",IF(E121=F121,"Match",IF(E121&gt;F121,"Physical higher","Mindbody higher"))))</f>
        <v>Not in Mindbody</v>
      </c>
      <c r="I121" s="10" t="s">
        <v>254</v>
      </c>
    </row>
    <row r="122" customFormat="false" ht="15" hidden="false" customHeight="false" outlineLevel="0" collapsed="false">
      <c r="A122" s="2" t="s">
        <v>251</v>
      </c>
      <c r="B122" s="19" t="s">
        <v>264</v>
      </c>
      <c r="C122" s="2" t="s">
        <v>263</v>
      </c>
      <c r="D122" s="3" t="s">
        <v>43</v>
      </c>
      <c r="E122" s="4" t="n">
        <f aca="false">SUMPRODUCT(('No Program'!$B$2:$B$200="Judo Uniform (With Logo)")*('No Program'!$D$2:$D$200="130cm"),'No Program'!$E$2:$E$200)</f>
        <v>9</v>
      </c>
      <c r="F122" s="20"/>
      <c r="G122" s="4" t="str">
        <f aca="false">IF(OR(E122="",F122=""),"",E122-F122)</f>
        <v/>
      </c>
      <c r="H122" s="7" t="str">
        <f aca="false">IF(E122="","Not counted",IF(F122="","Not in Mindbody",IF(E122=F122,"Match",IF(E122&gt;F122,"Physical higher","Mindbody higher"))))</f>
        <v>Not in Mindbody</v>
      </c>
      <c r="I122" s="10" t="s">
        <v>254</v>
      </c>
    </row>
    <row r="123" customFormat="false" ht="15" hidden="false" customHeight="false" outlineLevel="0" collapsed="false">
      <c r="A123" s="2" t="s">
        <v>251</v>
      </c>
      <c r="B123" s="19" t="s">
        <v>265</v>
      </c>
      <c r="C123" s="2" t="s">
        <v>263</v>
      </c>
      <c r="D123" s="3" t="s">
        <v>266</v>
      </c>
      <c r="E123" s="4" t="n">
        <f aca="false">SUMPRODUCT(('No Program'!$B$2:$B$200="Judo Uniform (With Logo)")*('No Program'!$D$2:$D$200="110cm (upper only)"),'No Program'!$E$2:$E$200)</f>
        <v>1</v>
      </c>
      <c r="F123" s="20"/>
      <c r="G123" s="4" t="str">
        <f aca="false">IF(OR(E123="",F123=""),"",E123-F123)</f>
        <v/>
      </c>
      <c r="H123" s="7" t="str">
        <f aca="false">IF(E123="","Not counted",IF(F123="","Not in Mindbody",IF(E123=F123,"Match",IF(E123&gt;F123,"Physical higher","Mindbody higher"))))</f>
        <v>Not in Mindbody</v>
      </c>
      <c r="I123" s="10" t="s">
        <v>254</v>
      </c>
    </row>
    <row r="124" customFormat="false" ht="15" hidden="false" customHeight="false" outlineLevel="0" collapsed="false">
      <c r="A124" s="2" t="s">
        <v>251</v>
      </c>
      <c r="B124" s="19" t="s">
        <v>267</v>
      </c>
      <c r="C124" s="2" t="s">
        <v>263</v>
      </c>
      <c r="D124" s="3" t="s">
        <v>268</v>
      </c>
      <c r="E124" s="4" t="n">
        <f aca="false">SUMPRODUCT(('No Program'!$B$2:$B$200="Judo Uniform (With Logo)")*('No Program'!$D$2:$D$200="100cm (upper only)"),'No Program'!$E$2:$E$200)</f>
        <v>1</v>
      </c>
      <c r="F124" s="20"/>
      <c r="G124" s="4" t="str">
        <f aca="false">IF(OR(E124="",F124=""),"",E124-F124)</f>
        <v/>
      </c>
      <c r="H124" s="7" t="str">
        <f aca="false">IF(E124="","Not counted",IF(F124="","Not in Mindbody",IF(E124=F124,"Match",IF(E124&gt;F124,"Physical higher","Mindbody higher"))))</f>
        <v>Not in Mindbody</v>
      </c>
      <c r="I124" s="10" t="s">
        <v>254</v>
      </c>
    </row>
    <row r="125" customFormat="false" ht="15" hidden="false" customHeight="false" outlineLevel="0" collapsed="false">
      <c r="A125" s="2" t="s">
        <v>251</v>
      </c>
      <c r="B125" s="19" t="s">
        <v>269</v>
      </c>
      <c r="C125" s="2" t="s">
        <v>263</v>
      </c>
      <c r="D125" s="3" t="s">
        <v>270</v>
      </c>
      <c r="E125" s="21"/>
      <c r="F125" s="20"/>
      <c r="G125" s="4" t="str">
        <f aca="false">IF(OR(E125="",F125=""),"",E125-F125)</f>
        <v/>
      </c>
      <c r="H125" s="7" t="str">
        <f aca="false">IF(E125="","Not counted",IF(F125="","Not in Mindbody",IF(E125=F125,"Match",IF(E125&gt;F125,"Physical higher","Mindbody higher"))))</f>
        <v>Not counted</v>
      </c>
      <c r="I125" s="10" t="s">
        <v>271</v>
      </c>
    </row>
    <row r="126" customFormat="false" ht="15" hidden="false" customHeight="false" outlineLevel="0" collapsed="false">
      <c r="A126" s="2" t="s">
        <v>251</v>
      </c>
      <c r="B126" s="19" t="s">
        <v>264</v>
      </c>
      <c r="C126" s="2" t="s">
        <v>272</v>
      </c>
      <c r="D126" s="3" t="s">
        <v>43</v>
      </c>
      <c r="E126" s="4" t="n">
        <f aca="false">SUMPRODUCT(('No Program'!$B$2:$B$200="Judo Uniform (No Logo)")*('No Program'!$D$2:$D$200="130cm"),'No Program'!$E$2:$E$200)</f>
        <v>7</v>
      </c>
      <c r="F126" s="20"/>
      <c r="G126" s="4" t="str">
        <f aca="false">IF(OR(E126="",F126=""),"",E126-F126)</f>
        <v/>
      </c>
      <c r="H126" s="7" t="str">
        <f aca="false">IF(E126="","Not counted",IF(F126="","Not in Mindbody",IF(E126=F126,"Match",IF(E126&gt;F126,"Physical higher","Mindbody higher"))))</f>
        <v>Not in Mindbody</v>
      </c>
      <c r="I126" s="10" t="s">
        <v>254</v>
      </c>
    </row>
    <row r="127" customFormat="false" ht="15" hidden="false" customHeight="false" outlineLevel="0" collapsed="false">
      <c r="A127" s="2" t="s">
        <v>251</v>
      </c>
      <c r="B127" s="19" t="s">
        <v>273</v>
      </c>
      <c r="C127" s="2" t="s">
        <v>272</v>
      </c>
      <c r="D127" s="3" t="s">
        <v>44</v>
      </c>
      <c r="E127" s="4" t="n">
        <f aca="false">SUMPRODUCT(('No Program'!$B$2:$B$200="Judo Uniform (No Logo)")*('No Program'!$D$2:$D$200="120cm"),'No Program'!$E$2:$E$200)</f>
        <v>29</v>
      </c>
      <c r="F127" s="20"/>
      <c r="G127" s="4" t="str">
        <f aca="false">IF(OR(E127="",F127=""),"",E127-F127)</f>
        <v/>
      </c>
      <c r="H127" s="7" t="str">
        <f aca="false">IF(E127="","Not counted",IF(F127="","Not in Mindbody",IF(E127=F127,"Match",IF(E127&gt;F127,"Physical higher","Mindbody higher"))))</f>
        <v>Not in Mindbody</v>
      </c>
      <c r="I127" s="10" t="s">
        <v>254</v>
      </c>
    </row>
    <row r="128" customFormat="false" ht="15" hidden="false" customHeight="false" outlineLevel="0" collapsed="false">
      <c r="A128" s="2" t="s">
        <v>251</v>
      </c>
      <c r="B128" s="19" t="s">
        <v>274</v>
      </c>
      <c r="C128" s="2" t="s">
        <v>272</v>
      </c>
      <c r="D128" s="3" t="s">
        <v>46</v>
      </c>
      <c r="E128" s="4" t="n">
        <f aca="false">SUMPRODUCT(('No Program'!$B$2:$B$200="Judo Uniform (No Logo)")*('No Program'!$D$2:$D$200="100cm"),'No Program'!$E$2:$E$200)</f>
        <v>8</v>
      </c>
      <c r="F128" s="20"/>
      <c r="G128" s="4" t="str">
        <f aca="false">IF(OR(E128="",F128=""),"",E128-F128)</f>
        <v/>
      </c>
      <c r="H128" s="7" t="str">
        <f aca="false">IF(E128="","Not counted",IF(F128="","Not in Mindbody",IF(E128=F128,"Match",IF(E128&gt;F128,"Physical higher","Mindbody higher"))))</f>
        <v>Not in Mindbody</v>
      </c>
      <c r="I128" s="10" t="s">
        <v>254</v>
      </c>
    </row>
  </sheetData>
  <autoFilter ref="A9:I128"/>
  <conditionalFormatting sqref="H10:H128">
    <cfRule type="expression" priority="2" aboveAverage="0" equalAverage="0" bottom="0" percent="0" rank="0" text="" dxfId="12">
      <formula>$H10="Match"</formula>
    </cfRule>
    <cfRule type="expression" priority="3" aboveAverage="0" equalAverage="0" bottom="0" percent="0" rank="0" text="" dxfId="4">
      <formula>OR($H10="Physical higher",$H10="Mindbody higher")</formula>
    </cfRule>
    <cfRule type="expression" priority="4" aboveAverage="0" equalAverage="0" bottom="0" percent="0" rank="0" text="" dxfId="7">
      <formula>OR($H10="Not in Mindbody",$H10="Not counted")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26"/>
    <col collapsed="false" customWidth="true" hidden="false" outlineLevel="0" max="4" min="4" style="0" width="32"/>
    <col collapsed="false" customWidth="true" hidden="false" outlineLevel="0" max="5" min="5" style="0" width="20"/>
    <col collapsed="false" customWidth="true" hidden="false" outlineLevel="0" max="8" min="6" style="0" width="11"/>
    <col collapsed="false" customWidth="true" hidden="false" outlineLevel="0" max="9" min="9" style="0" width="70"/>
  </cols>
  <sheetData>
    <row r="1" customFormat="false" ht="15" hidden="false" customHeight="false" outlineLevel="0" collapsed="false">
      <c r="A1" s="16" t="s">
        <v>275</v>
      </c>
    </row>
    <row r="2" customFormat="false" ht="15" hidden="false" customHeight="false" outlineLevel="0" collapsed="false">
      <c r="A2" s="6" t="s">
        <v>276</v>
      </c>
    </row>
    <row r="4" customFormat="false" ht="15" hidden="false" customHeight="false" outlineLevel="0" collapsed="false">
      <c r="A4" s="17" t="s">
        <v>147</v>
      </c>
      <c r="C4" s="17" t="s">
        <v>148</v>
      </c>
      <c r="E4" s="17" t="s">
        <v>149</v>
      </c>
      <c r="G4" s="17" t="s">
        <v>150</v>
      </c>
    </row>
    <row r="5" customFormat="false" ht="15" hidden="false" customHeight="false" outlineLevel="0" collapsed="false">
      <c r="A5" s="22" t="n">
        <f aca="false">COUNTIF($A$8:$A$300,"Physical higher")</f>
        <v>4</v>
      </c>
      <c r="C5" s="22" t="n">
        <f aca="false">COUNTIF($A$8:$A$300,"Mindbody higher")</f>
        <v>11</v>
      </c>
      <c r="E5" s="22" t="n">
        <f aca="false">COUNTIF($A$8:$A$300,"Not in Mindbody")</f>
        <v>23</v>
      </c>
      <c r="G5" s="22" t="n">
        <f aca="false">COUNTIF($A$8:$A$300,"Not counted")</f>
        <v>24</v>
      </c>
    </row>
    <row r="7" customFormat="false" ht="31.5" hidden="false" customHeight="true" outlineLevel="0" collapsed="false">
      <c r="A7" s="1" t="s">
        <v>158</v>
      </c>
      <c r="B7" s="1" t="s">
        <v>151</v>
      </c>
      <c r="C7" s="1" t="s">
        <v>152</v>
      </c>
      <c r="D7" s="1" t="s">
        <v>153</v>
      </c>
      <c r="E7" s="1" t="s">
        <v>154</v>
      </c>
      <c r="F7" s="1" t="s">
        <v>155</v>
      </c>
      <c r="G7" s="1" t="s">
        <v>156</v>
      </c>
      <c r="H7" s="1" t="s">
        <v>277</v>
      </c>
      <c r="I7" s="1" t="s">
        <v>159</v>
      </c>
    </row>
    <row r="8" customFormat="false" ht="15" hidden="false" customHeight="false" outlineLevel="0" collapsed="false">
      <c r="A8" s="2" t="str">
        <f aca="false">IF('Bedaya vs Mindbody'!H70="","",'Bedaya vs Mindbody'!H70)</f>
        <v>Physical higher</v>
      </c>
      <c r="B8" s="2" t="str">
        <f aca="false">IF('Bedaya vs Mindbody'!A70="","",'Bedaya vs Mindbody'!A70)</f>
        <v>New Judo</v>
      </c>
      <c r="C8" s="2" t="str">
        <f aca="false">IF('Bedaya vs Mindbody'!B70="","",'Bedaya vs Mindbody'!B70)</f>
        <v>100</v>
      </c>
      <c r="D8" s="2" t="str">
        <f aca="false">IF('Bedaya vs Mindbody'!C70="","",'Bedaya vs Mindbody'!C70)</f>
        <v>Judo Uniform</v>
      </c>
      <c r="E8" s="4" t="str">
        <f aca="false">IF('Bedaya vs Mindbody'!D70="","",'Bedaya vs Mindbody'!D70)</f>
        <v>100cm</v>
      </c>
      <c r="F8" s="4" t="n">
        <f aca="false">IF('Bedaya vs Mindbody'!E70="","",'Bedaya vs Mindbody'!E70)</f>
        <v>9</v>
      </c>
      <c r="G8" s="4" t="n">
        <f aca="false">IF('Bedaya vs Mindbody'!F70="","",'Bedaya vs Mindbody'!F70)</f>
        <v>8</v>
      </c>
      <c r="H8" s="4" t="n">
        <f aca="false">IF('Bedaya vs Mindbody'!G70="","",'Bedaya vs Mindbody'!G70)</f>
        <v>1</v>
      </c>
      <c r="I8" s="10" t="str">
        <f aca="false">IF('Bedaya vs Mindbody'!I70="","",'Bedaya vs Mindbody'!I70)</f>
        <v>Judo - No Program tab (physical 9 vs 8)</v>
      </c>
    </row>
    <row r="9" customFormat="false" ht="15" hidden="false" customHeight="false" outlineLevel="0" collapsed="false">
      <c r="A9" s="2" t="str">
        <f aca="false">IF('Bedaya vs Mindbody'!H83="","",'Bedaya vs Mindbody'!H83)</f>
        <v>Physical higher</v>
      </c>
      <c r="B9" s="2" t="str">
        <f aca="false">IF('Bedaya vs Mindbody'!A83="","",'Bedaya vs Mindbody'!A83)</f>
        <v>New Karate</v>
      </c>
      <c r="C9" s="2" t="str">
        <f aca="false">IF('Bedaya vs Mindbody'!B83="","",'Bedaya vs Mindbody'!B83)</f>
        <v>150</v>
      </c>
      <c r="D9" s="2" t="str">
        <f aca="false">IF('Bedaya vs Mindbody'!C83="","",'Bedaya vs Mindbody'!C83)</f>
        <v>Karate Uniform</v>
      </c>
      <c r="E9" s="4" t="str">
        <f aca="false">IF('Bedaya vs Mindbody'!D83="","",'Bedaya vs Mindbody'!D83)</f>
        <v>150cm</v>
      </c>
      <c r="F9" s="4" t="n">
        <f aca="false">IF('Bedaya vs Mindbody'!E83="","",'Bedaya vs Mindbody'!E83)</f>
        <v>4</v>
      </c>
      <c r="G9" s="4" t="n">
        <f aca="false">IF('Bedaya vs Mindbody'!F83="","",'Bedaya vs Mindbody'!F83)</f>
        <v>2</v>
      </c>
      <c r="H9" s="4" t="n">
        <f aca="false">IF('Bedaya vs Mindbody'!G83="","",'Bedaya vs Mindbody'!G83)</f>
        <v>2</v>
      </c>
      <c r="I9" s="10" t="str">
        <f aca="false">IF('Bedaya vs Mindbody'!I83="","",'Bedaya vs Mindbody'!I83)</f>
        <v>Mindbody 150 = 2 (the '150 / 160' line is 0)</v>
      </c>
    </row>
    <row r="10" customFormat="false" ht="15" hidden="false" customHeight="false" outlineLevel="0" collapsed="false">
      <c r="A10" s="2" t="str">
        <f aca="false">IF('Bedaya vs Mindbody'!H84="","",'Bedaya vs Mindbody'!H84)</f>
        <v>Physical higher</v>
      </c>
      <c r="B10" s="2" t="str">
        <f aca="false">IF('Bedaya vs Mindbody'!A84="","",'Bedaya vs Mindbody'!A84)</f>
        <v>New Karate</v>
      </c>
      <c r="C10" s="2" t="str">
        <f aca="false">IF('Bedaya vs Mindbody'!B84="","",'Bedaya vs Mindbody'!B84)</f>
        <v>160</v>
      </c>
      <c r="D10" s="2" t="str">
        <f aca="false">IF('Bedaya vs Mindbody'!C84="","",'Bedaya vs Mindbody'!C84)</f>
        <v>Karate Uniform</v>
      </c>
      <c r="E10" s="4" t="str">
        <f aca="false">IF('Bedaya vs Mindbody'!D84="","",'Bedaya vs Mindbody'!D84)</f>
        <v>160cm</v>
      </c>
      <c r="F10" s="4" t="n">
        <f aca="false">IF('Bedaya vs Mindbody'!E84="","",'Bedaya vs Mindbody'!E84)</f>
        <v>4</v>
      </c>
      <c r="G10" s="4" t="n">
        <f aca="false">IF('Bedaya vs Mindbody'!F84="","",'Bedaya vs Mindbody'!F84)</f>
        <v>3</v>
      </c>
      <c r="H10" s="4" t="n">
        <f aca="false">IF('Bedaya vs Mindbody'!G84="","",'Bedaya vs Mindbody'!G84)</f>
        <v>1</v>
      </c>
      <c r="I10" s="10" t="str">
        <f aca="false">IF('Bedaya vs Mindbody'!I84="","",'Bedaya vs Mindbody'!I84)</f>
        <v/>
      </c>
    </row>
    <row r="11" customFormat="false" ht="15" hidden="false" customHeight="false" outlineLevel="0" collapsed="false">
      <c r="A11" s="2" t="str">
        <f aca="false">IF('Bedaya vs Mindbody'!H108="","",'Bedaya vs Mindbody'!H108)</f>
        <v>Physical higher</v>
      </c>
      <c r="B11" s="2" t="str">
        <f aca="false">IF('Bedaya vs Mindbody'!A108="","",'Bedaya vs Mindbody'!A108)</f>
        <v>Systema Shirt</v>
      </c>
      <c r="C11" s="2" t="str">
        <f aca="false">IF('Bedaya vs Mindbody'!B108="","",'Bedaya vs Mindbody'!B108)</f>
        <v>Grey X Large</v>
      </c>
      <c r="D11" s="2" t="str">
        <f aca="false">IF('Bedaya vs Mindbody'!C108="","",'Bedaya vs Mindbody'!C108)</f>
        <v>Systema T-shirt (Gray)</v>
      </c>
      <c r="E11" s="4" t="str">
        <f aca="false">IF('Bedaya vs Mindbody'!D108="","",'Bedaya vs Mindbody'!D108)</f>
        <v>XL</v>
      </c>
      <c r="F11" s="4" t="n">
        <f aca="false">IF('Bedaya vs Mindbody'!E108="","",'Bedaya vs Mindbody'!E108)</f>
        <v>1</v>
      </c>
      <c r="G11" s="4" t="n">
        <f aca="false">IF('Bedaya vs Mindbody'!F108="","",'Bedaya vs Mindbody'!F108)</f>
        <v>0</v>
      </c>
      <c r="H11" s="4" t="n">
        <f aca="false">IF('Bedaya vs Mindbody'!G108="","",'Bedaya vs Mindbody'!G108)</f>
        <v>1</v>
      </c>
      <c r="I11" s="10" t="str">
        <f aca="false">IF('Bedaya vs Mindbody'!I108="","",'Bedaya vs Mindbody'!I108)</f>
        <v/>
      </c>
    </row>
    <row r="12" customFormat="false" ht="23.85" hidden="false" customHeight="false" outlineLevel="0" collapsed="false">
      <c r="A12" s="2" t="str">
        <f aca="false">IF('Bedaya vs Mindbody'!H12="","",'Bedaya vs Mindbody'!H12)</f>
        <v>Mindbody higher</v>
      </c>
      <c r="B12" s="2" t="str">
        <f aca="false">IF('Bedaya vs Mindbody'!A12="","",'Bedaya vs Mindbody'!A12)</f>
        <v>Boxing Gloves</v>
      </c>
      <c r="C12" s="2" t="str">
        <f aca="false">IF('Bedaya vs Mindbody'!B12="","",'Bedaya vs Mindbody'!B12)</f>
        <v>6 oz</v>
      </c>
      <c r="D12" s="2" t="str">
        <f aca="false">IF('Bedaya vs Mindbody'!C12="","",'Bedaya vs Mindbody'!C12)</f>
        <v>Boxing Gloves</v>
      </c>
      <c r="E12" s="4" t="str">
        <f aca="false">IF('Bedaya vs Mindbody'!D12="","",'Bedaya vs Mindbody'!D12)</f>
        <v>6oz</v>
      </c>
      <c r="F12" s="4" t="n">
        <f aca="false">IF('Bedaya vs Mindbody'!E12="","",'Bedaya vs Mindbody'!E12)</f>
        <v>-1</v>
      </c>
      <c r="G12" s="4" t="n">
        <f aca="false">IF('Bedaya vs Mindbody'!F12="","",'Bedaya vs Mindbody'!F12)</f>
        <v>1</v>
      </c>
      <c r="H12" s="4" t="n">
        <f aca="false">IF('Bedaya vs Mindbody'!G12="","",'Bedaya vs Mindbody'!G12)</f>
        <v>-2</v>
      </c>
      <c r="I12" s="10" t="str">
        <f aca="false">IF('Bedaya vs Mindbody'!I12="","",'Bedaya vs Mindbody'!I12)</f>
        <v>Physical reduced by pairs transferred to Promenade on 19 Sep; Mindbody quantity not adjusted. </v>
      </c>
    </row>
    <row r="13" customFormat="false" ht="23.85" hidden="false" customHeight="false" outlineLevel="0" collapsed="false">
      <c r="A13" s="2" t="str">
        <f aca="false">IF('Bedaya vs Mindbody'!H13="","",'Bedaya vs Mindbody'!H13)</f>
        <v>Mindbody higher</v>
      </c>
      <c r="B13" s="2" t="str">
        <f aca="false">IF('Bedaya vs Mindbody'!A13="","",'Bedaya vs Mindbody'!A13)</f>
        <v>Boxing Gloves</v>
      </c>
      <c r="C13" s="2" t="str">
        <f aca="false">IF('Bedaya vs Mindbody'!B13="","",'Bedaya vs Mindbody'!B13)</f>
        <v>8 oz</v>
      </c>
      <c r="D13" s="2" t="str">
        <f aca="false">IF('Bedaya vs Mindbody'!C13="","",'Bedaya vs Mindbody'!C13)</f>
        <v>Boxing Gloves</v>
      </c>
      <c r="E13" s="4" t="str">
        <f aca="false">IF('Bedaya vs Mindbody'!D13="","",'Bedaya vs Mindbody'!D13)</f>
        <v>8oz</v>
      </c>
      <c r="F13" s="4" t="n">
        <f aca="false">IF('Bedaya vs Mindbody'!E13="","",'Bedaya vs Mindbody'!E13)</f>
        <v>1</v>
      </c>
      <c r="G13" s="4" t="n">
        <f aca="false">IF('Bedaya vs Mindbody'!F13="","",'Bedaya vs Mindbody'!F13)</f>
        <v>3</v>
      </c>
      <c r="H13" s="4" t="n">
        <f aca="false">IF('Bedaya vs Mindbody'!G13="","",'Bedaya vs Mindbody'!G13)</f>
        <v>-2</v>
      </c>
      <c r="I13" s="10" t="str">
        <f aca="false">IF('Bedaya vs Mindbody'!I13="","",'Bedaya vs Mindbody'!I13)</f>
        <v>Physical reduced by pairs transferred to Promenade on 19 Sep; Mindbody quantity not adjusted. </v>
      </c>
    </row>
    <row r="14" customFormat="false" ht="23.85" hidden="false" customHeight="false" outlineLevel="0" collapsed="false">
      <c r="A14" s="2" t="str">
        <f aca="false">IF('Bedaya vs Mindbody'!H14="","",'Bedaya vs Mindbody'!H14)</f>
        <v>Mindbody higher</v>
      </c>
      <c r="B14" s="2" t="str">
        <f aca="false">IF('Bedaya vs Mindbody'!A14="","",'Bedaya vs Mindbody'!A14)</f>
        <v>Boxing Gloves</v>
      </c>
      <c r="C14" s="2" t="str">
        <f aca="false">IF('Bedaya vs Mindbody'!B14="","",'Bedaya vs Mindbody'!B14)</f>
        <v>10 oz</v>
      </c>
      <c r="D14" s="2" t="str">
        <f aca="false">IF('Bedaya vs Mindbody'!C14="","",'Bedaya vs Mindbody'!C14)</f>
        <v>Boxing Gloves</v>
      </c>
      <c r="E14" s="4" t="str">
        <f aca="false">IF('Bedaya vs Mindbody'!D14="","",'Bedaya vs Mindbody'!D14)</f>
        <v>10oz</v>
      </c>
      <c r="F14" s="4" t="n">
        <f aca="false">IF('Bedaya vs Mindbody'!E14="","",'Bedaya vs Mindbody'!E14)</f>
        <v>0</v>
      </c>
      <c r="G14" s="4" t="n">
        <f aca="false">IF('Bedaya vs Mindbody'!F14="","",'Bedaya vs Mindbody'!F14)</f>
        <v>2</v>
      </c>
      <c r="H14" s="4" t="n">
        <f aca="false">IF('Bedaya vs Mindbody'!G14="","",'Bedaya vs Mindbody'!G14)</f>
        <v>-2</v>
      </c>
      <c r="I14" s="10" t="str">
        <f aca="false">IF('Bedaya vs Mindbody'!I14="","",'Bedaya vs Mindbody'!I14)</f>
        <v>Physical reduced by pairs transferred to Promenade on 19 Sep; Mindbody quantity not adjusted. </v>
      </c>
    </row>
    <row r="15" customFormat="false" ht="35.05" hidden="false" customHeight="false" outlineLevel="0" collapsed="false">
      <c r="A15" s="2" t="str">
        <f aca="false">IF('Bedaya vs Mindbody'!H15="","",'Bedaya vs Mindbody'!H15)</f>
        <v>Mindbody higher</v>
      </c>
      <c r="B15" s="2" t="str">
        <f aca="false">IF('Bedaya vs Mindbody'!A15="","",'Bedaya vs Mindbody'!A15)</f>
        <v>Boxing Gloves</v>
      </c>
      <c r="C15" s="2" t="str">
        <f aca="false">IF('Bedaya vs Mindbody'!B15="","",'Bedaya vs Mindbody'!B15)</f>
        <v>12 oz</v>
      </c>
      <c r="D15" s="2" t="str">
        <f aca="false">IF('Bedaya vs Mindbody'!C15="","",'Bedaya vs Mindbody'!C15)</f>
        <v>Boxing Gloves</v>
      </c>
      <c r="E15" s="4" t="str">
        <f aca="false">IF('Bedaya vs Mindbody'!D15="","",'Bedaya vs Mindbody'!D15)</f>
        <v>12oz</v>
      </c>
      <c r="F15" s="4" t="n">
        <f aca="false">IF('Bedaya vs Mindbody'!E15="","",'Bedaya vs Mindbody'!E15)</f>
        <v>0</v>
      </c>
      <c r="G15" s="4" t="n">
        <f aca="false">IF('Bedaya vs Mindbody'!F15="","",'Bedaya vs Mindbody'!F15)</f>
        <v>11</v>
      </c>
      <c r="H15" s="4" t="n">
        <f aca="false">IF('Bedaya vs Mindbody'!G15="","",'Bedaya vs Mindbody'!G15)</f>
        <v>-11</v>
      </c>
      <c r="I15" s="10" t="str">
        <f aca="false">IF('Bedaya vs Mindbody'!I15="","",'Bedaya vs Mindbody'!I15)</f>
        <v>Physical reduced by pairs transferred to Promenade on 19 Sep; Mindbody quantity not adjusted. Mindbody shows 11 vs 1 counted - recount / check for typo or unadjusted transfer</v>
      </c>
    </row>
    <row r="16" customFormat="false" ht="23.85" hidden="false" customHeight="false" outlineLevel="0" collapsed="false">
      <c r="A16" s="2" t="str">
        <f aca="false">IF('Bedaya vs Mindbody'!H39="","",'Bedaya vs Mindbody'!H39)</f>
        <v>Mindbody higher</v>
      </c>
      <c r="B16" s="2" t="str">
        <f aca="false">IF('Bedaya vs Mindbody'!A39="","",'Bedaya vs Mindbody'!A39)</f>
        <v>Kajukenbo Patch</v>
      </c>
      <c r="C16" s="2" t="str">
        <f aca="false">IF('Bedaya vs Mindbody'!B39="","",'Bedaya vs Mindbody'!B39)</f>
        <v>(one line for both patches)</v>
      </c>
      <c r="D16" s="2" t="str">
        <f aca="false">IF('Bedaya vs Mindbody'!C39="","",'Bedaya vs Mindbody'!C39)</f>
        <v>Kajukimbo Patch - Circle (Front) + Kajukimbo Patch - Shoulder</v>
      </c>
      <c r="E16" s="4" t="str">
        <f aca="false">IF('Bedaya vs Mindbody'!D39="","",'Bedaya vs Mindbody'!D39)</f>
        <v>- + -</v>
      </c>
      <c r="F16" s="4" t="n">
        <f aca="false">IF('Bedaya vs Mindbody'!E39="","",'Bedaya vs Mindbody'!E39)</f>
        <v>51</v>
      </c>
      <c r="G16" s="4" t="n">
        <f aca="false">IF('Bedaya vs Mindbody'!F39="","",'Bedaya vs Mindbody'!F39)</f>
        <v>62</v>
      </c>
      <c r="H16" s="4" t="n">
        <f aca="false">IF('Bedaya vs Mindbody'!G39="","",'Bedaya vs Mindbody'!G39)</f>
        <v>-11</v>
      </c>
      <c r="I16" s="10" t="str">
        <f aca="false">IF('Bedaya vs Mindbody'!I39="","",'Bedaya vs Mindbody'!I39)</f>
        <v>Circle 25 + Shoulder 26 compared with the single Mindbody line (Promenade patches excluded)</v>
      </c>
    </row>
    <row r="17" customFormat="false" ht="15" hidden="false" customHeight="false" outlineLevel="0" collapsed="false">
      <c r="A17" s="2" t="str">
        <f aca="false">IF('Bedaya vs Mindbody'!H94="","",'Bedaya vs Mindbody'!H94)</f>
        <v>Mindbody higher</v>
      </c>
      <c r="B17" s="2" t="str">
        <f aca="false">IF('Bedaya vs Mindbody'!A94="","",'Bedaya vs Mindbody'!A94)</f>
        <v>New Taekwondo</v>
      </c>
      <c r="C17" s="2" t="str">
        <f aca="false">IF('Bedaya vs Mindbody'!B94="","",'Bedaya vs Mindbody'!B94)</f>
        <v>150</v>
      </c>
      <c r="D17" s="2" t="str">
        <f aca="false">IF('Bedaya vs Mindbody'!C94="","",'Bedaya vs Mindbody'!C94)</f>
        <v>Taekwondo Uniform</v>
      </c>
      <c r="E17" s="4" t="str">
        <f aca="false">IF('Bedaya vs Mindbody'!D94="","",'Bedaya vs Mindbody'!D94)</f>
        <v>150cm</v>
      </c>
      <c r="F17" s="4" t="n">
        <f aca="false">IF('Bedaya vs Mindbody'!E94="","",'Bedaya vs Mindbody'!E94)</f>
        <v>3</v>
      </c>
      <c r="G17" s="4" t="n">
        <f aca="false">IF('Bedaya vs Mindbody'!F94="","",'Bedaya vs Mindbody'!F94)</f>
        <v>5</v>
      </c>
      <c r="H17" s="4" t="n">
        <f aca="false">IF('Bedaya vs Mindbody'!G94="","",'Bedaya vs Mindbody'!G94)</f>
        <v>-2</v>
      </c>
      <c r="I17" s="10" t="str">
        <f aca="false">IF('Bedaya vs Mindbody'!I94="","",'Bedaya vs Mindbody'!I94)</f>
        <v/>
      </c>
    </row>
    <row r="18" customFormat="false" ht="23.85" hidden="false" customHeight="false" outlineLevel="0" collapsed="false">
      <c r="A18" s="2" t="str">
        <f aca="false">IF('Bedaya vs Mindbody'!H99="","",'Bedaya vs Mindbody'!H99)</f>
        <v>Mindbody higher</v>
      </c>
      <c r="B18" s="2" t="str">
        <f aca="false">IF('Bedaya vs Mindbody'!A99="","",'Bedaya vs Mindbody'!A99)</f>
        <v>Shin Guard</v>
      </c>
      <c r="C18" s="2" t="str">
        <f aca="false">IF('Bedaya vs Mindbody'!B99="","",'Bedaya vs Mindbody'!B99)</f>
        <v>Extra Small</v>
      </c>
      <c r="D18" s="2" t="str">
        <f aca="false">IF('Bedaya vs Mindbody'!C99="","",'Bedaya vs Mindbody'!C99)</f>
        <v>Shin Guard</v>
      </c>
      <c r="E18" s="4" t="str">
        <f aca="false">IF('Bedaya vs Mindbody'!D99="","",'Bedaya vs Mindbody'!D99)</f>
        <v>XS</v>
      </c>
      <c r="F18" s="4" t="n">
        <f aca="false">IF('Bedaya vs Mindbody'!E99="","",'Bedaya vs Mindbody'!E99)</f>
        <v>0</v>
      </c>
      <c r="G18" s="4" t="n">
        <f aca="false">IF('Bedaya vs Mindbody'!F99="","",'Bedaya vs Mindbody'!F99)</f>
        <v>2</v>
      </c>
      <c r="H18" s="4" t="n">
        <f aca="false">IF('Bedaya vs Mindbody'!G99="","",'Bedaya vs Mindbody'!G99)</f>
        <v>-2</v>
      </c>
      <c r="I18" s="10" t="str">
        <f aca="false">IF('Bedaya vs Mindbody'!I99="","",'Bedaya vs Mindbody'!I99)</f>
        <v>Physical reduced by pairs transferred to Promenade on 19 Sep; Mindbody quantity not adjusted. </v>
      </c>
    </row>
    <row r="19" customFormat="false" ht="23.85" hidden="false" customHeight="false" outlineLevel="0" collapsed="false">
      <c r="A19" s="2" t="str">
        <f aca="false">IF('Bedaya vs Mindbody'!H100="","",'Bedaya vs Mindbody'!H100)</f>
        <v>Mindbody higher</v>
      </c>
      <c r="B19" s="2" t="str">
        <f aca="false">IF('Bedaya vs Mindbody'!A100="","",'Bedaya vs Mindbody'!A100)</f>
        <v>Shin Guard</v>
      </c>
      <c r="C19" s="2" t="str">
        <f aca="false">IF('Bedaya vs Mindbody'!B100="","",'Bedaya vs Mindbody'!B100)</f>
        <v>Small</v>
      </c>
      <c r="D19" s="2" t="str">
        <f aca="false">IF('Bedaya vs Mindbody'!C100="","",'Bedaya vs Mindbody'!C100)</f>
        <v>Shin Guard</v>
      </c>
      <c r="E19" s="4" t="str">
        <f aca="false">IF('Bedaya vs Mindbody'!D100="","",'Bedaya vs Mindbody'!D100)</f>
        <v>S</v>
      </c>
      <c r="F19" s="4" t="n">
        <f aca="false">IF('Bedaya vs Mindbody'!E100="","",'Bedaya vs Mindbody'!E100)</f>
        <v>0</v>
      </c>
      <c r="G19" s="4" t="n">
        <f aca="false">IF('Bedaya vs Mindbody'!F100="","",'Bedaya vs Mindbody'!F100)</f>
        <v>1</v>
      </c>
      <c r="H19" s="4" t="n">
        <f aca="false">IF('Bedaya vs Mindbody'!G100="","",'Bedaya vs Mindbody'!G100)</f>
        <v>-1</v>
      </c>
      <c r="I19" s="10" t="str">
        <f aca="false">IF('Bedaya vs Mindbody'!I100="","",'Bedaya vs Mindbody'!I100)</f>
        <v>Physical reduced by pairs transferred to Promenade on 19 Sep; Mindbody quantity not adjusted. </v>
      </c>
    </row>
    <row r="20" customFormat="false" ht="23.85" hidden="false" customHeight="false" outlineLevel="0" collapsed="false">
      <c r="A20" s="2" t="str">
        <f aca="false">IF('Bedaya vs Mindbody'!H101="","",'Bedaya vs Mindbody'!H101)</f>
        <v>Mindbody higher</v>
      </c>
      <c r="B20" s="2" t="str">
        <f aca="false">IF('Bedaya vs Mindbody'!A101="","",'Bedaya vs Mindbody'!A101)</f>
        <v>Shin Guard</v>
      </c>
      <c r="C20" s="2" t="str">
        <f aca="false">IF('Bedaya vs Mindbody'!B101="","",'Bedaya vs Mindbody'!B101)</f>
        <v>Medium</v>
      </c>
      <c r="D20" s="2" t="str">
        <f aca="false">IF('Bedaya vs Mindbody'!C101="","",'Bedaya vs Mindbody'!C101)</f>
        <v>Shin Guard</v>
      </c>
      <c r="E20" s="4" t="str">
        <f aca="false">IF('Bedaya vs Mindbody'!D101="","",'Bedaya vs Mindbody'!D101)</f>
        <v>M</v>
      </c>
      <c r="F20" s="4" t="n">
        <f aca="false">IF('Bedaya vs Mindbody'!E101="","",'Bedaya vs Mindbody'!E101)</f>
        <v>-1</v>
      </c>
      <c r="G20" s="4" t="n">
        <f aca="false">IF('Bedaya vs Mindbody'!F101="","",'Bedaya vs Mindbody'!F101)</f>
        <v>1</v>
      </c>
      <c r="H20" s="4" t="n">
        <f aca="false">IF('Bedaya vs Mindbody'!G101="","",'Bedaya vs Mindbody'!G101)</f>
        <v>-2</v>
      </c>
      <c r="I20" s="10" t="str">
        <f aca="false">IF('Bedaya vs Mindbody'!I101="","",'Bedaya vs Mindbody'!I101)</f>
        <v>Physical reduced by pairs transferred to Promenade on 19 Sep; Mindbody quantity not adjusted. </v>
      </c>
    </row>
    <row r="21" customFormat="false" ht="23.85" hidden="false" customHeight="false" outlineLevel="0" collapsed="false">
      <c r="A21" s="2" t="str">
        <f aca="false">IF('Bedaya vs Mindbody'!H102="","",'Bedaya vs Mindbody'!H102)</f>
        <v>Mindbody higher</v>
      </c>
      <c r="B21" s="2" t="str">
        <f aca="false">IF('Bedaya vs Mindbody'!A102="","",'Bedaya vs Mindbody'!A102)</f>
        <v>Shin Guard</v>
      </c>
      <c r="C21" s="2" t="str">
        <f aca="false">IF('Bedaya vs Mindbody'!B102="","",'Bedaya vs Mindbody'!B102)</f>
        <v>Large</v>
      </c>
      <c r="D21" s="2" t="str">
        <f aca="false">IF('Bedaya vs Mindbody'!C102="","",'Bedaya vs Mindbody'!C102)</f>
        <v>Shin Guard</v>
      </c>
      <c r="E21" s="4" t="str">
        <f aca="false">IF('Bedaya vs Mindbody'!D102="","",'Bedaya vs Mindbody'!D102)</f>
        <v>L</v>
      </c>
      <c r="F21" s="4" t="n">
        <f aca="false">IF('Bedaya vs Mindbody'!E102="","",'Bedaya vs Mindbody'!E102)</f>
        <v>0</v>
      </c>
      <c r="G21" s="4" t="n">
        <f aca="false">IF('Bedaya vs Mindbody'!F102="","",'Bedaya vs Mindbody'!F102)</f>
        <v>2</v>
      </c>
      <c r="H21" s="4" t="n">
        <f aca="false">IF('Bedaya vs Mindbody'!G102="","",'Bedaya vs Mindbody'!G102)</f>
        <v>-2</v>
      </c>
      <c r="I21" s="10" t="str">
        <f aca="false">IF('Bedaya vs Mindbody'!I102="","",'Bedaya vs Mindbody'!I102)</f>
        <v>Physical reduced by pairs transferred to Promenade on 19 Sep; Mindbody quantity not adjusted. </v>
      </c>
    </row>
    <row r="22" customFormat="false" ht="23.85" hidden="false" customHeight="false" outlineLevel="0" collapsed="false">
      <c r="A22" s="2" t="str">
        <f aca="false">IF('Bedaya vs Mindbody'!H103="","",'Bedaya vs Mindbody'!H103)</f>
        <v>Mindbody higher</v>
      </c>
      <c r="B22" s="2" t="str">
        <f aca="false">IF('Bedaya vs Mindbody'!A103="","",'Bedaya vs Mindbody'!A103)</f>
        <v>Shin Guard</v>
      </c>
      <c r="C22" s="2" t="str">
        <f aca="false">IF('Bedaya vs Mindbody'!B103="","",'Bedaya vs Mindbody'!B103)</f>
        <v>Extra Large</v>
      </c>
      <c r="D22" s="2" t="str">
        <f aca="false">IF('Bedaya vs Mindbody'!C103="","",'Bedaya vs Mindbody'!C103)</f>
        <v>Shin Guard</v>
      </c>
      <c r="E22" s="4" t="str">
        <f aca="false">IF('Bedaya vs Mindbody'!D103="","",'Bedaya vs Mindbody'!D103)</f>
        <v>XL</v>
      </c>
      <c r="F22" s="4" t="n">
        <f aca="false">IF('Bedaya vs Mindbody'!E103="","",'Bedaya vs Mindbody'!E103)</f>
        <v>-1</v>
      </c>
      <c r="G22" s="4" t="n">
        <f aca="false">IF('Bedaya vs Mindbody'!F103="","",'Bedaya vs Mindbody'!F103)</f>
        <v>1</v>
      </c>
      <c r="H22" s="4" t="n">
        <f aca="false">IF('Bedaya vs Mindbody'!G103="","",'Bedaya vs Mindbody'!G103)</f>
        <v>-2</v>
      </c>
      <c r="I22" s="10" t="str">
        <f aca="false">IF('Bedaya vs Mindbody'!I103="","",'Bedaya vs Mindbody'!I103)</f>
        <v>Physical reduced by pairs transferred to Promenade on 19 Sep; Mindbody quantity not adjusted. </v>
      </c>
    </row>
    <row r="23" customFormat="false" ht="15" hidden="false" customHeight="false" outlineLevel="0" collapsed="false">
      <c r="A23" s="2" t="str">
        <f aca="false">IF('Bedaya vs Mindbody'!H37="","",'Bedaya vs Mindbody'!H37)</f>
        <v>Not in Mindbody</v>
      </c>
      <c r="B23" s="2" t="str">
        <f aca="false">IF('Bedaya vs Mindbody'!A37="","",'Bedaya vs Mindbody'!A37)</f>
        <v>Instructor Shirt</v>
      </c>
      <c r="C23" s="2" t="str">
        <f aca="false">IF('Bedaya vs Mindbody'!B37="","",'Bedaya vs Mindbody'!B37)</f>
        <v>(no XL / L line)</v>
      </c>
      <c r="D23" s="2" t="str">
        <f aca="false">IF('Bedaya vs Mindbody'!C37="","",'Bedaya vs Mindbody'!C37)</f>
        <v>Instructor T-shirt (Elite Logo)</v>
      </c>
      <c r="E23" s="4" t="str">
        <f aca="false">IF('Bedaya vs Mindbody'!D37="","",'Bedaya vs Mindbody'!D37)</f>
        <v>XL</v>
      </c>
      <c r="F23" s="4" t="n">
        <f aca="false">IF('Bedaya vs Mindbody'!E37="","",'Bedaya vs Mindbody'!E37)</f>
        <v>3</v>
      </c>
      <c r="G23" s="4" t="str">
        <f aca="false">IF('Bedaya vs Mindbody'!F37="","",'Bedaya vs Mindbody'!F37)</f>
        <v/>
      </c>
      <c r="H23" s="4" t="str">
        <f aca="false">IF('Bedaya vs Mindbody'!G37="","",'Bedaya vs Mindbody'!G37)</f>
        <v/>
      </c>
      <c r="I23" s="10" t="str">
        <f aca="false">IF('Bedaya vs Mindbody'!I37="","",'Bedaya vs Mindbody'!I37)</f>
        <v>Mindbody only has Grey S and XXL (both 0)</v>
      </c>
    </row>
    <row r="24" customFormat="false" ht="15" hidden="false" customHeight="false" outlineLevel="0" collapsed="false">
      <c r="A24" s="2" t="str">
        <f aca="false">IF('Bedaya vs Mindbody'!H38="","",'Bedaya vs Mindbody'!H38)</f>
        <v>Not in Mindbody</v>
      </c>
      <c r="B24" s="2" t="str">
        <f aca="false">IF('Bedaya vs Mindbody'!A38="","",'Bedaya vs Mindbody'!A38)</f>
        <v>Instructor Shirt</v>
      </c>
      <c r="C24" s="2" t="str">
        <f aca="false">IF('Bedaya vs Mindbody'!B38="","",'Bedaya vs Mindbody'!B38)</f>
        <v>(no XL / L line)</v>
      </c>
      <c r="D24" s="2" t="str">
        <f aca="false">IF('Bedaya vs Mindbody'!C38="","",'Bedaya vs Mindbody'!C38)</f>
        <v>Instructor T-shirt (Elite Logo)</v>
      </c>
      <c r="E24" s="4" t="str">
        <f aca="false">IF('Bedaya vs Mindbody'!D38="","",'Bedaya vs Mindbody'!D38)</f>
        <v>L</v>
      </c>
      <c r="F24" s="4" t="n">
        <f aca="false">IF('Bedaya vs Mindbody'!E38="","",'Bedaya vs Mindbody'!E38)</f>
        <v>1</v>
      </c>
      <c r="G24" s="4" t="str">
        <f aca="false">IF('Bedaya vs Mindbody'!F38="","",'Bedaya vs Mindbody'!F38)</f>
        <v/>
      </c>
      <c r="H24" s="4" t="str">
        <f aca="false">IF('Bedaya vs Mindbody'!G38="","",'Bedaya vs Mindbody'!G38)</f>
        <v/>
      </c>
      <c r="I24" s="10" t="str">
        <f aca="false">IF('Bedaya vs Mindbody'!I38="","",'Bedaya vs Mindbody'!I38)</f>
        <v>Mindbody only has Grey S and XXL (both 0)</v>
      </c>
    </row>
    <row r="25" customFormat="false" ht="15" hidden="false" customHeight="false" outlineLevel="0" collapsed="false">
      <c r="A25" s="2" t="str">
        <f aca="false">IF('Bedaya vs Mindbody'!H49="","",'Bedaya vs Mindbody'!H49)</f>
        <v>Not in Mindbody</v>
      </c>
      <c r="B25" s="2" t="str">
        <f aca="false">IF('Bedaya vs Mindbody'!A49="","",'Bedaya vs Mindbody'!A49)</f>
        <v>Kajukenbo Uniform w/ Patches</v>
      </c>
      <c r="C25" s="2" t="str">
        <f aca="false">IF('Bedaya vs Mindbody'!B49="","",'Bedaya vs Mindbody'!B49)</f>
        <v>(no 190 line)</v>
      </c>
      <c r="D25" s="2" t="str">
        <f aca="false">IF('Bedaya vs Mindbody'!C49="","",'Bedaya vs Mindbody'!C49)</f>
        <v>Kajukimbo Uniform</v>
      </c>
      <c r="E25" s="4" t="str">
        <f aca="false">IF('Bedaya vs Mindbody'!D49="","",'Bedaya vs Mindbody'!D49)</f>
        <v>190cm</v>
      </c>
      <c r="F25" s="4" t="n">
        <f aca="false">IF('Bedaya vs Mindbody'!E49="","",'Bedaya vs Mindbody'!E49)</f>
        <v>2</v>
      </c>
      <c r="G25" s="4" t="str">
        <f aca="false">IF('Bedaya vs Mindbody'!F49="","",'Bedaya vs Mindbody'!F49)</f>
        <v/>
      </c>
      <c r="H25" s="4" t="str">
        <f aca="false">IF('Bedaya vs Mindbody'!G49="","",'Bedaya vs Mindbody'!G49)</f>
        <v/>
      </c>
      <c r="I25" s="10" t="str">
        <f aca="false">IF('Bedaya vs Mindbody'!I49="","",'Bedaya vs Mindbody'!I49)</f>
        <v>Mindbody only has size 210 (0)</v>
      </c>
    </row>
    <row r="26" customFormat="false" ht="15" hidden="false" customHeight="false" outlineLevel="0" collapsed="false">
      <c r="A26" s="2" t="str">
        <f aca="false">IF('Bedaya vs Mindbody'!H50="","",'Bedaya vs Mindbody'!H50)</f>
        <v>Not in Mindbody</v>
      </c>
      <c r="B26" s="2" t="str">
        <f aca="false">IF('Bedaya vs Mindbody'!A50="","",'Bedaya vs Mindbody'!A50)</f>
        <v>Kajukenbo Uniform w/ Patches</v>
      </c>
      <c r="C26" s="2" t="str">
        <f aca="false">IF('Bedaya vs Mindbody'!B50="","",'Bedaya vs Mindbody'!B50)</f>
        <v>(no 200 line)</v>
      </c>
      <c r="D26" s="2" t="str">
        <f aca="false">IF('Bedaya vs Mindbody'!C50="","",'Bedaya vs Mindbody'!C50)</f>
        <v>Kajukimbo Uniform</v>
      </c>
      <c r="E26" s="4" t="str">
        <f aca="false">IF('Bedaya vs Mindbody'!D50="","",'Bedaya vs Mindbody'!D50)</f>
        <v>200cm</v>
      </c>
      <c r="F26" s="4" t="n">
        <f aca="false">IF('Bedaya vs Mindbody'!E50="","",'Bedaya vs Mindbody'!E50)</f>
        <v>2</v>
      </c>
      <c r="G26" s="4" t="str">
        <f aca="false">IF('Bedaya vs Mindbody'!F50="","",'Bedaya vs Mindbody'!F50)</f>
        <v/>
      </c>
      <c r="H26" s="4" t="str">
        <f aca="false">IF('Bedaya vs Mindbody'!G50="","",'Bedaya vs Mindbody'!G50)</f>
        <v/>
      </c>
      <c r="I26" s="10" t="str">
        <f aca="false">IF('Bedaya vs Mindbody'!I50="","",'Bedaya vs Mindbody'!I50)</f>
        <v>Mindbody only has size 210 (0)</v>
      </c>
    </row>
    <row r="27" customFormat="false" ht="15" hidden="false" customHeight="false" outlineLevel="0" collapsed="false">
      <c r="A27" s="2" t="str">
        <f aca="false">IF('Bedaya vs Mindbody'!H69="","",'Bedaya vs Mindbody'!H69)</f>
        <v>Not in Mindbody</v>
      </c>
      <c r="B27" s="2" t="str">
        <f aca="false">IF('Bedaya vs Mindbody'!A69="","",'Bedaya vs Mindbody'!A69)</f>
        <v>Mouth Guard</v>
      </c>
      <c r="C27" s="2" t="str">
        <f aca="false">IF('Bedaya vs Mindbody'!B69="","",'Bedaya vs Mindbody'!B69)</f>
        <v>(no Junior line)</v>
      </c>
      <c r="D27" s="2" t="str">
        <f aca="false">IF('Bedaya vs Mindbody'!C69="","",'Bedaya vs Mindbody'!C69)</f>
        <v>Mouth Guard</v>
      </c>
      <c r="E27" s="4" t="str">
        <f aca="false">IF('Bedaya vs Mindbody'!D69="","",'Bedaya vs Mindbody'!D69)</f>
        <v>Junior</v>
      </c>
      <c r="F27" s="4" t="n">
        <f aca="false">IF('Bedaya vs Mindbody'!E69="","",'Bedaya vs Mindbody'!E69)</f>
        <v>12</v>
      </c>
      <c r="G27" s="4" t="str">
        <f aca="false">IF('Bedaya vs Mindbody'!F69="","",'Bedaya vs Mindbody'!F69)</f>
        <v/>
      </c>
      <c r="H27" s="4" t="str">
        <f aca="false">IF('Bedaya vs Mindbody'!G69="","",'Bedaya vs Mindbody'!G69)</f>
        <v/>
      </c>
      <c r="I27" s="10" t="str">
        <f aca="false">IF('Bedaya vs Mindbody'!I69="","",'Bedaya vs Mindbody'!I69)</f>
        <v>No Junior mouth guard in Mindbody</v>
      </c>
    </row>
    <row r="28" customFormat="false" ht="15" hidden="false" customHeight="false" outlineLevel="0" collapsed="false">
      <c r="A28" s="2" t="str">
        <f aca="false">IF('Bedaya vs Mindbody'!H88="","",'Bedaya vs Mindbody'!H88)</f>
        <v>Not in Mindbody</v>
      </c>
      <c r="B28" s="2" t="str">
        <f aca="false">IF('Bedaya vs Mindbody'!A88="","",'Bedaya vs Mindbody'!A88)</f>
        <v>New Karate</v>
      </c>
      <c r="C28" s="2" t="str">
        <f aca="false">IF('Bedaya vs Mindbody'!B88="","",'Bedaya vs Mindbody'!B88)</f>
        <v>(no 190 line)</v>
      </c>
      <c r="D28" s="2" t="str">
        <f aca="false">IF('Bedaya vs Mindbody'!C88="","",'Bedaya vs Mindbody'!C88)</f>
        <v>Karate Uniform</v>
      </c>
      <c r="E28" s="4" t="str">
        <f aca="false">IF('Bedaya vs Mindbody'!D88="","",'Bedaya vs Mindbody'!D88)</f>
        <v>190cm</v>
      </c>
      <c r="F28" s="4" t="n">
        <f aca="false">IF('Bedaya vs Mindbody'!E88="","",'Bedaya vs Mindbody'!E88)</f>
        <v>2</v>
      </c>
      <c r="G28" s="4" t="str">
        <f aca="false">IF('Bedaya vs Mindbody'!F88="","",'Bedaya vs Mindbody'!F88)</f>
        <v/>
      </c>
      <c r="H28" s="4" t="str">
        <f aca="false">IF('Bedaya vs Mindbody'!G88="","",'Bedaya vs Mindbody'!G88)</f>
        <v/>
      </c>
      <c r="I28" s="10" t="str">
        <f aca="false">IF('Bedaya vs Mindbody'!I88="","",'Bedaya vs Mindbody'!I88)</f>
        <v>No 190 size in Mindbody</v>
      </c>
    </row>
    <row r="29" customFormat="false" ht="15" hidden="false" customHeight="false" outlineLevel="0" collapsed="false">
      <c r="A29" s="2" t="str">
        <f aca="false">IF('Bedaya vs Mindbody'!H105="","",'Bedaya vs Mindbody'!H105)</f>
        <v>Not in Mindbody</v>
      </c>
      <c r="B29" s="2" t="str">
        <f aca="false">IF('Bedaya vs Mindbody'!A105="","",'Bedaya vs Mindbody'!A105)</f>
        <v>Supporter</v>
      </c>
      <c r="C29" s="2" t="str">
        <f aca="false">IF('Bedaya vs Mindbody'!B105="","",'Bedaya vs Mindbody'!B105)</f>
        <v>(not in Mindbody)</v>
      </c>
      <c r="D29" s="2" t="str">
        <f aca="false">IF('Bedaya vs Mindbody'!C105="","",'Bedaya vs Mindbody'!C105)</f>
        <v>Supporter</v>
      </c>
      <c r="E29" s="4" t="str">
        <f aca="false">IF('Bedaya vs Mindbody'!D105="","",'Bedaya vs Mindbody'!D105)</f>
        <v>M</v>
      </c>
      <c r="F29" s="4" t="n">
        <f aca="false">IF('Bedaya vs Mindbody'!E105="","",'Bedaya vs Mindbody'!E105)</f>
        <v>7</v>
      </c>
      <c r="G29" s="4" t="str">
        <f aca="false">IF('Bedaya vs Mindbody'!F105="","",'Bedaya vs Mindbody'!F105)</f>
        <v/>
      </c>
      <c r="H29" s="4" t="str">
        <f aca="false">IF('Bedaya vs Mindbody'!G105="","",'Bedaya vs Mindbody'!G105)</f>
        <v/>
      </c>
      <c r="I29" s="10" t="str">
        <f aca="false">IF('Bedaya vs Mindbody'!I105="","",'Bedaya vs Mindbody'!I105)</f>
        <v>No supporter / groin guard product in Mindbody</v>
      </c>
    </row>
    <row r="30" customFormat="false" ht="15" hidden="false" customHeight="false" outlineLevel="0" collapsed="false">
      <c r="A30" s="2" t="str">
        <f aca="false">IF('Bedaya vs Mindbody'!H106="","",'Bedaya vs Mindbody'!H106)</f>
        <v>Not in Mindbody</v>
      </c>
      <c r="B30" s="2" t="str">
        <f aca="false">IF('Bedaya vs Mindbody'!A106="","",'Bedaya vs Mindbody'!A106)</f>
        <v>Supporter</v>
      </c>
      <c r="C30" s="2" t="str">
        <f aca="false">IF('Bedaya vs Mindbody'!B106="","",'Bedaya vs Mindbody'!B106)</f>
        <v>(not in Mindbody)</v>
      </c>
      <c r="D30" s="2" t="str">
        <f aca="false">IF('Bedaya vs Mindbody'!C106="","",'Bedaya vs Mindbody'!C106)</f>
        <v>Supporter</v>
      </c>
      <c r="E30" s="4" t="str">
        <f aca="false">IF('Bedaya vs Mindbody'!D106="","",'Bedaya vs Mindbody'!D106)</f>
        <v>S</v>
      </c>
      <c r="F30" s="4" t="n">
        <f aca="false">IF('Bedaya vs Mindbody'!E106="","",'Bedaya vs Mindbody'!E106)</f>
        <v>9</v>
      </c>
      <c r="G30" s="4" t="str">
        <f aca="false">IF('Bedaya vs Mindbody'!F106="","",'Bedaya vs Mindbody'!F106)</f>
        <v/>
      </c>
      <c r="H30" s="4" t="str">
        <f aca="false">IF('Bedaya vs Mindbody'!G106="","",'Bedaya vs Mindbody'!G106)</f>
        <v/>
      </c>
      <c r="I30" s="10" t="str">
        <f aca="false">IF('Bedaya vs Mindbody'!I106="","",'Bedaya vs Mindbody'!I106)</f>
        <v>No supporter / groin guard product in Mindbody</v>
      </c>
    </row>
    <row r="31" customFormat="false" ht="15" hidden="false" customHeight="false" outlineLevel="0" collapsed="false">
      <c r="A31" s="2" t="str">
        <f aca="false">IF('Bedaya vs Mindbody'!H109="","",'Bedaya vs Mindbody'!H109)</f>
        <v>Not in Mindbody</v>
      </c>
      <c r="B31" s="2" t="str">
        <f aca="false">IF('Bedaya vs Mindbody'!A109="","",'Bedaya vs Mindbody'!A109)</f>
        <v>Systema Shirt</v>
      </c>
      <c r="C31" s="2" t="str">
        <f aca="false">IF('Bedaya vs Mindbody'!B109="","",'Bedaya vs Mindbody'!B109)</f>
        <v>(no Grey M line)</v>
      </c>
      <c r="D31" s="2" t="str">
        <f aca="false">IF('Bedaya vs Mindbody'!C109="","",'Bedaya vs Mindbody'!C109)</f>
        <v>Systema T-shirt (Gray)</v>
      </c>
      <c r="E31" s="4" t="str">
        <f aca="false">IF('Bedaya vs Mindbody'!D109="","",'Bedaya vs Mindbody'!D109)</f>
        <v>M</v>
      </c>
      <c r="F31" s="4" t="n">
        <f aca="false">IF('Bedaya vs Mindbody'!E109="","",'Bedaya vs Mindbody'!E109)</f>
        <v>1</v>
      </c>
      <c r="G31" s="4" t="str">
        <f aca="false">IF('Bedaya vs Mindbody'!F109="","",'Bedaya vs Mindbody'!F109)</f>
        <v/>
      </c>
      <c r="H31" s="4" t="str">
        <f aca="false">IF('Bedaya vs Mindbody'!G109="","",'Bedaya vs Mindbody'!G109)</f>
        <v/>
      </c>
      <c r="I31" s="10" t="str">
        <f aca="false">IF('Bedaya vs Mindbody'!I109="","",'Bedaya vs Mindbody'!I109)</f>
        <v>Mindbody only has Grey XL and XXX Large</v>
      </c>
    </row>
    <row r="32" customFormat="false" ht="15" hidden="false" customHeight="false" outlineLevel="0" collapsed="false">
      <c r="A32" s="2" t="str">
        <f aca="false">IF('Bedaya vs Mindbody'!H110="","",'Bedaya vs Mindbody'!H110)</f>
        <v>Not in Mindbody</v>
      </c>
      <c r="B32" s="2" t="str">
        <f aca="false">IF('Bedaya vs Mindbody'!A110="","",'Bedaya vs Mindbody'!A110)</f>
        <v>Systema Shirt</v>
      </c>
      <c r="C32" s="2" t="str">
        <f aca="false">IF('Bedaya vs Mindbody'!B110="","",'Bedaya vs Mindbody'!B110)</f>
        <v>(no Grey S line)</v>
      </c>
      <c r="D32" s="2" t="str">
        <f aca="false">IF('Bedaya vs Mindbody'!C110="","",'Bedaya vs Mindbody'!C110)</f>
        <v>Systema T-shirt (Gray)</v>
      </c>
      <c r="E32" s="4" t="str">
        <f aca="false">IF('Bedaya vs Mindbody'!D110="","",'Bedaya vs Mindbody'!D110)</f>
        <v>S</v>
      </c>
      <c r="F32" s="4" t="n">
        <f aca="false">IF('Bedaya vs Mindbody'!E110="","",'Bedaya vs Mindbody'!E110)</f>
        <v>1</v>
      </c>
      <c r="G32" s="4" t="str">
        <f aca="false">IF('Bedaya vs Mindbody'!F110="","",'Bedaya vs Mindbody'!F110)</f>
        <v/>
      </c>
      <c r="H32" s="4" t="str">
        <f aca="false">IF('Bedaya vs Mindbody'!G110="","",'Bedaya vs Mindbody'!G110)</f>
        <v/>
      </c>
      <c r="I32" s="10" t="str">
        <f aca="false">IF('Bedaya vs Mindbody'!I110="","",'Bedaya vs Mindbody'!I110)</f>
        <v>Mindbody only has Grey XL and XXX Large</v>
      </c>
    </row>
    <row r="33" customFormat="false" ht="15" hidden="false" customHeight="false" outlineLevel="0" collapsed="false">
      <c r="A33" s="2" t="str">
        <f aca="false">IF('Bedaya vs Mindbody'!H115="","",'Bedaya vs Mindbody'!H115)</f>
        <v>Not in Mindbody</v>
      </c>
      <c r="B33" s="2" t="str">
        <f aca="false">IF('Bedaya vs Mindbody'!A115="","",'Bedaya vs Mindbody'!A115)</f>
        <v>(no Mindbody product)</v>
      </c>
      <c r="C33" s="2" t="str">
        <f aca="false">IF('Bedaya vs Mindbody'!B115="","",'Bedaya vs Mindbody'!B115)</f>
        <v>Karate Uniform - 120cm</v>
      </c>
      <c r="D33" s="2" t="str">
        <f aca="false">IF('Bedaya vs Mindbody'!C115="","",'Bedaya vs Mindbody'!C115)</f>
        <v>Karate Uniform (No Logo)</v>
      </c>
      <c r="E33" s="4" t="str">
        <f aca="false">IF('Bedaya vs Mindbody'!D115="","",'Bedaya vs Mindbody'!D115)</f>
        <v>120cm</v>
      </c>
      <c r="F33" s="4" t="n">
        <f aca="false">IF('Bedaya vs Mindbody'!E115="","",'Bedaya vs Mindbody'!E115)</f>
        <v>48</v>
      </c>
      <c r="G33" s="4" t="str">
        <f aca="false">IF('Bedaya vs Mindbody'!F115="","",'Bedaya vs Mindbody'!F115)</f>
        <v/>
      </c>
      <c r="H33" s="4" t="str">
        <f aca="false">IF('Bedaya vs Mindbody'!G115="","",'Bedaya vs Mindbody'!G115)</f>
        <v/>
      </c>
      <c r="I33" s="10" t="str">
        <f aca="false">IF('Bedaya vs Mindbody'!I115="","",'Bedaya vs Mindbody'!I115)</f>
        <v>Old / no-logo / no-program stock - not listed in Mindbody</v>
      </c>
    </row>
    <row r="34" customFormat="false" ht="15" hidden="false" customHeight="false" outlineLevel="0" collapsed="false">
      <c r="A34" s="2" t="str">
        <f aca="false">IF('Bedaya vs Mindbody'!H116="","",'Bedaya vs Mindbody'!H116)</f>
        <v>Not in Mindbody</v>
      </c>
      <c r="B34" s="2" t="str">
        <f aca="false">IF('Bedaya vs Mindbody'!A116="","",'Bedaya vs Mindbody'!A116)</f>
        <v>(no Mindbody product)</v>
      </c>
      <c r="C34" s="2" t="str">
        <f aca="false">IF('Bedaya vs Mindbody'!B116="","",'Bedaya vs Mindbody'!B116)</f>
        <v>Karate Uniform - 110cm</v>
      </c>
      <c r="D34" s="2" t="str">
        <f aca="false">IF('Bedaya vs Mindbody'!C116="","",'Bedaya vs Mindbody'!C116)</f>
        <v>Karate Uniform (No Logo)</v>
      </c>
      <c r="E34" s="4" t="str">
        <f aca="false">IF('Bedaya vs Mindbody'!D116="","",'Bedaya vs Mindbody'!D116)</f>
        <v>110cm</v>
      </c>
      <c r="F34" s="4" t="n">
        <f aca="false">IF('Bedaya vs Mindbody'!E116="","",'Bedaya vs Mindbody'!E116)</f>
        <v>95</v>
      </c>
      <c r="G34" s="4" t="str">
        <f aca="false">IF('Bedaya vs Mindbody'!F116="","",'Bedaya vs Mindbody'!F116)</f>
        <v/>
      </c>
      <c r="H34" s="4" t="str">
        <f aca="false">IF('Bedaya vs Mindbody'!G116="","",'Bedaya vs Mindbody'!G116)</f>
        <v/>
      </c>
      <c r="I34" s="10" t="str">
        <f aca="false">IF('Bedaya vs Mindbody'!I116="","",'Bedaya vs Mindbody'!I116)</f>
        <v>Old / no-logo / no-program stock - not listed in Mindbody</v>
      </c>
    </row>
    <row r="35" customFormat="false" ht="15" hidden="false" customHeight="false" outlineLevel="0" collapsed="false">
      <c r="A35" s="2" t="str">
        <f aca="false">IF('Bedaya vs Mindbody'!H117="","",'Bedaya vs Mindbody'!H117)</f>
        <v>Not in Mindbody</v>
      </c>
      <c r="B35" s="2" t="str">
        <f aca="false">IF('Bedaya vs Mindbody'!A117="","",'Bedaya vs Mindbody'!A117)</f>
        <v>(no Mindbody product)</v>
      </c>
      <c r="C35" s="2" t="str">
        <f aca="false">IF('Bedaya vs Mindbody'!B117="","",'Bedaya vs Mindbody'!B117)</f>
        <v>Karate Uniform - 100cm</v>
      </c>
      <c r="D35" s="2" t="str">
        <f aca="false">IF('Bedaya vs Mindbody'!C117="","",'Bedaya vs Mindbody'!C117)</f>
        <v>Karate Uniform (No Logo)</v>
      </c>
      <c r="E35" s="4" t="str">
        <f aca="false">IF('Bedaya vs Mindbody'!D117="","",'Bedaya vs Mindbody'!D117)</f>
        <v>100cm</v>
      </c>
      <c r="F35" s="4" t="n">
        <f aca="false">IF('Bedaya vs Mindbody'!E117="","",'Bedaya vs Mindbody'!E117)</f>
        <v>40</v>
      </c>
      <c r="G35" s="4" t="str">
        <f aca="false">IF('Bedaya vs Mindbody'!F117="","",'Bedaya vs Mindbody'!F117)</f>
        <v/>
      </c>
      <c r="H35" s="4" t="str">
        <f aca="false">IF('Bedaya vs Mindbody'!G117="","",'Bedaya vs Mindbody'!G117)</f>
        <v/>
      </c>
      <c r="I35" s="10" t="str">
        <f aca="false">IF('Bedaya vs Mindbody'!I117="","",'Bedaya vs Mindbody'!I117)</f>
        <v>Old / no-logo / no-program stock - not listed in Mindbody</v>
      </c>
    </row>
    <row r="36" customFormat="false" ht="15" hidden="false" customHeight="false" outlineLevel="0" collapsed="false">
      <c r="A36" s="2" t="str">
        <f aca="false">IF('Bedaya vs Mindbody'!H118="","",'Bedaya vs Mindbody'!H118)</f>
        <v>Not in Mindbody</v>
      </c>
      <c r="B36" s="2" t="str">
        <f aca="false">IF('Bedaya vs Mindbody'!A118="","",'Bedaya vs Mindbody'!A118)</f>
        <v>(no Mindbody product)</v>
      </c>
      <c r="C36" s="2" t="str">
        <f aca="false">IF('Bedaya vs Mindbody'!B118="","",'Bedaya vs Mindbody'!B118)</f>
        <v>Taekwondo Uniform - 110cm</v>
      </c>
      <c r="D36" s="2" t="str">
        <f aca="false">IF('Bedaya vs Mindbody'!C118="","",'Bedaya vs Mindbody'!C118)</f>
        <v>Taekwondo Uniform (Old)</v>
      </c>
      <c r="E36" s="4" t="str">
        <f aca="false">IF('Bedaya vs Mindbody'!D118="","",'Bedaya vs Mindbody'!D118)</f>
        <v>110cm</v>
      </c>
      <c r="F36" s="4" t="n">
        <f aca="false">IF('Bedaya vs Mindbody'!E118="","",'Bedaya vs Mindbody'!E118)</f>
        <v>10</v>
      </c>
      <c r="G36" s="4" t="str">
        <f aca="false">IF('Bedaya vs Mindbody'!F118="","",'Bedaya vs Mindbody'!F118)</f>
        <v/>
      </c>
      <c r="H36" s="4" t="str">
        <f aca="false">IF('Bedaya vs Mindbody'!G118="","",'Bedaya vs Mindbody'!G118)</f>
        <v/>
      </c>
      <c r="I36" s="10" t="str">
        <f aca="false">IF('Bedaya vs Mindbody'!I118="","",'Bedaya vs Mindbody'!I118)</f>
        <v>Old / no-logo / no-program stock - not listed in Mindbody</v>
      </c>
    </row>
    <row r="37" customFormat="false" ht="15" hidden="false" customHeight="false" outlineLevel="0" collapsed="false">
      <c r="A37" s="2" t="str">
        <f aca="false">IF('Bedaya vs Mindbody'!H119="","",'Bedaya vs Mindbody'!H119)</f>
        <v>Not in Mindbody</v>
      </c>
      <c r="B37" s="2" t="str">
        <f aca="false">IF('Bedaya vs Mindbody'!A119="","",'Bedaya vs Mindbody'!A119)</f>
        <v>(no Mindbody product)</v>
      </c>
      <c r="C37" s="2" t="str">
        <f aca="false">IF('Bedaya vs Mindbody'!B119="","",'Bedaya vs Mindbody'!B119)</f>
        <v>Taekwondo Uniform - 100cm</v>
      </c>
      <c r="D37" s="2" t="str">
        <f aca="false">IF('Bedaya vs Mindbody'!C119="","",'Bedaya vs Mindbody'!C119)</f>
        <v>Taekwondo Uniform (Old)</v>
      </c>
      <c r="E37" s="4" t="str">
        <f aca="false">IF('Bedaya vs Mindbody'!D119="","",'Bedaya vs Mindbody'!D119)</f>
        <v>100cm</v>
      </c>
      <c r="F37" s="4" t="n">
        <f aca="false">IF('Bedaya vs Mindbody'!E119="","",'Bedaya vs Mindbody'!E119)</f>
        <v>13</v>
      </c>
      <c r="G37" s="4" t="str">
        <f aca="false">IF('Bedaya vs Mindbody'!F119="","",'Bedaya vs Mindbody'!F119)</f>
        <v/>
      </c>
      <c r="H37" s="4" t="str">
        <f aca="false">IF('Bedaya vs Mindbody'!G119="","",'Bedaya vs Mindbody'!G119)</f>
        <v/>
      </c>
      <c r="I37" s="10" t="str">
        <f aca="false">IF('Bedaya vs Mindbody'!I119="","",'Bedaya vs Mindbody'!I119)</f>
        <v>Old / no-logo / no-program stock - not listed in Mindbody</v>
      </c>
    </row>
    <row r="38" customFormat="false" ht="15" hidden="false" customHeight="false" outlineLevel="0" collapsed="false">
      <c r="A38" s="2" t="str">
        <f aca="false">IF('Bedaya vs Mindbody'!H120="","",'Bedaya vs Mindbody'!H120)</f>
        <v>Not in Mindbody</v>
      </c>
      <c r="B38" s="2" t="str">
        <f aca="false">IF('Bedaya vs Mindbody'!A120="","",'Bedaya vs Mindbody'!A120)</f>
        <v>(no Mindbody product)</v>
      </c>
      <c r="C38" s="2" t="str">
        <f aca="false">IF('Bedaya vs Mindbody'!B120="","",'Bedaya vs Mindbody'!B120)</f>
        <v>Taekwondo Uniform - 130cm (upper only)</v>
      </c>
      <c r="D38" s="2" t="str">
        <f aca="false">IF('Bedaya vs Mindbody'!C120="","",'Bedaya vs Mindbody'!C120)</f>
        <v>Taekwondo Uniform (Old)</v>
      </c>
      <c r="E38" s="4" t="str">
        <f aca="false">IF('Bedaya vs Mindbody'!D120="","",'Bedaya vs Mindbody'!D120)</f>
        <v>130cm (upper only)</v>
      </c>
      <c r="F38" s="4" t="n">
        <f aca="false">IF('Bedaya vs Mindbody'!E120="","",'Bedaya vs Mindbody'!E120)</f>
        <v>1</v>
      </c>
      <c r="G38" s="4" t="str">
        <f aca="false">IF('Bedaya vs Mindbody'!F120="","",'Bedaya vs Mindbody'!F120)</f>
        <v/>
      </c>
      <c r="H38" s="4" t="str">
        <f aca="false">IF('Bedaya vs Mindbody'!G120="","",'Bedaya vs Mindbody'!G120)</f>
        <v/>
      </c>
      <c r="I38" s="10" t="str">
        <f aca="false">IF('Bedaya vs Mindbody'!I120="","",'Bedaya vs Mindbody'!I120)</f>
        <v>Old / no-logo / no-program stock - not listed in Mindbody</v>
      </c>
    </row>
    <row r="39" customFormat="false" ht="15" hidden="false" customHeight="false" outlineLevel="0" collapsed="false">
      <c r="A39" s="2" t="str">
        <f aca="false">IF('Bedaya vs Mindbody'!H121="","",'Bedaya vs Mindbody'!H121)</f>
        <v>Not in Mindbody</v>
      </c>
      <c r="B39" s="2" t="str">
        <f aca="false">IF('Bedaya vs Mindbody'!A121="","",'Bedaya vs Mindbody'!A121)</f>
        <v>(no Mindbody product)</v>
      </c>
      <c r="C39" s="2" t="str">
        <f aca="false">IF('Bedaya vs Mindbody'!B121="","",'Bedaya vs Mindbody'!B121)</f>
        <v>Judo Uniform - 140cm</v>
      </c>
      <c r="D39" s="2" t="str">
        <f aca="false">IF('Bedaya vs Mindbody'!C121="","",'Bedaya vs Mindbody'!C121)</f>
        <v>Judo Uniform (With Logo)</v>
      </c>
      <c r="E39" s="4" t="str">
        <f aca="false">IF('Bedaya vs Mindbody'!D121="","",'Bedaya vs Mindbody'!D121)</f>
        <v>140cm</v>
      </c>
      <c r="F39" s="4" t="n">
        <f aca="false">IF('Bedaya vs Mindbody'!E121="","",'Bedaya vs Mindbody'!E121)</f>
        <v>12</v>
      </c>
      <c r="G39" s="4" t="str">
        <f aca="false">IF('Bedaya vs Mindbody'!F121="","",'Bedaya vs Mindbody'!F121)</f>
        <v/>
      </c>
      <c r="H39" s="4" t="str">
        <f aca="false">IF('Bedaya vs Mindbody'!G121="","",'Bedaya vs Mindbody'!G121)</f>
        <v/>
      </c>
      <c r="I39" s="10" t="str">
        <f aca="false">IF('Bedaya vs Mindbody'!I121="","",'Bedaya vs Mindbody'!I121)</f>
        <v>Old / no-logo / no-program stock - not listed in Mindbody</v>
      </c>
    </row>
    <row r="40" customFormat="false" ht="15" hidden="false" customHeight="false" outlineLevel="0" collapsed="false">
      <c r="A40" s="2" t="str">
        <f aca="false">IF('Bedaya vs Mindbody'!H122="","",'Bedaya vs Mindbody'!H122)</f>
        <v>Not in Mindbody</v>
      </c>
      <c r="B40" s="2" t="str">
        <f aca="false">IF('Bedaya vs Mindbody'!A122="","",'Bedaya vs Mindbody'!A122)</f>
        <v>(no Mindbody product)</v>
      </c>
      <c r="C40" s="2" t="str">
        <f aca="false">IF('Bedaya vs Mindbody'!B122="","",'Bedaya vs Mindbody'!B122)</f>
        <v>Judo Uniform - 130cm</v>
      </c>
      <c r="D40" s="2" t="str">
        <f aca="false">IF('Bedaya vs Mindbody'!C122="","",'Bedaya vs Mindbody'!C122)</f>
        <v>Judo Uniform (With Logo)</v>
      </c>
      <c r="E40" s="4" t="str">
        <f aca="false">IF('Bedaya vs Mindbody'!D122="","",'Bedaya vs Mindbody'!D122)</f>
        <v>130cm</v>
      </c>
      <c r="F40" s="4" t="n">
        <f aca="false">IF('Bedaya vs Mindbody'!E122="","",'Bedaya vs Mindbody'!E122)</f>
        <v>9</v>
      </c>
      <c r="G40" s="4" t="str">
        <f aca="false">IF('Bedaya vs Mindbody'!F122="","",'Bedaya vs Mindbody'!F122)</f>
        <v/>
      </c>
      <c r="H40" s="4" t="str">
        <f aca="false">IF('Bedaya vs Mindbody'!G122="","",'Bedaya vs Mindbody'!G122)</f>
        <v/>
      </c>
      <c r="I40" s="10" t="str">
        <f aca="false">IF('Bedaya vs Mindbody'!I122="","",'Bedaya vs Mindbody'!I122)</f>
        <v>Old / no-logo / no-program stock - not listed in Mindbody</v>
      </c>
    </row>
    <row r="41" customFormat="false" ht="15" hidden="false" customHeight="false" outlineLevel="0" collapsed="false">
      <c r="A41" s="2" t="str">
        <f aca="false">IF('Bedaya vs Mindbody'!H123="","",'Bedaya vs Mindbody'!H123)</f>
        <v>Not in Mindbody</v>
      </c>
      <c r="B41" s="2" t="str">
        <f aca="false">IF('Bedaya vs Mindbody'!A123="","",'Bedaya vs Mindbody'!A123)</f>
        <v>(no Mindbody product)</v>
      </c>
      <c r="C41" s="2" t="str">
        <f aca="false">IF('Bedaya vs Mindbody'!B123="","",'Bedaya vs Mindbody'!B123)</f>
        <v>Judo Uniform - 110cm (upper only)</v>
      </c>
      <c r="D41" s="2" t="str">
        <f aca="false">IF('Bedaya vs Mindbody'!C123="","",'Bedaya vs Mindbody'!C123)</f>
        <v>Judo Uniform (With Logo)</v>
      </c>
      <c r="E41" s="4" t="str">
        <f aca="false">IF('Bedaya vs Mindbody'!D123="","",'Bedaya vs Mindbody'!D123)</f>
        <v>110cm (upper only)</v>
      </c>
      <c r="F41" s="4" t="n">
        <f aca="false">IF('Bedaya vs Mindbody'!E123="","",'Bedaya vs Mindbody'!E123)</f>
        <v>1</v>
      </c>
      <c r="G41" s="4" t="str">
        <f aca="false">IF('Bedaya vs Mindbody'!F123="","",'Bedaya vs Mindbody'!F123)</f>
        <v/>
      </c>
      <c r="H41" s="4" t="str">
        <f aca="false">IF('Bedaya vs Mindbody'!G123="","",'Bedaya vs Mindbody'!G123)</f>
        <v/>
      </c>
      <c r="I41" s="10" t="str">
        <f aca="false">IF('Bedaya vs Mindbody'!I123="","",'Bedaya vs Mindbody'!I123)</f>
        <v>Old / no-logo / no-program stock - not listed in Mindbody</v>
      </c>
    </row>
    <row r="42" customFormat="false" ht="15" hidden="false" customHeight="false" outlineLevel="0" collapsed="false">
      <c r="A42" s="2" t="str">
        <f aca="false">IF('Bedaya vs Mindbody'!H124="","",'Bedaya vs Mindbody'!H124)</f>
        <v>Not in Mindbody</v>
      </c>
      <c r="B42" s="2" t="str">
        <f aca="false">IF('Bedaya vs Mindbody'!A124="","",'Bedaya vs Mindbody'!A124)</f>
        <v>(no Mindbody product)</v>
      </c>
      <c r="C42" s="2" t="str">
        <f aca="false">IF('Bedaya vs Mindbody'!B124="","",'Bedaya vs Mindbody'!B124)</f>
        <v>Judo Uniform - 100cm (upper only)</v>
      </c>
      <c r="D42" s="2" t="str">
        <f aca="false">IF('Bedaya vs Mindbody'!C124="","",'Bedaya vs Mindbody'!C124)</f>
        <v>Judo Uniform (With Logo)</v>
      </c>
      <c r="E42" s="4" t="str">
        <f aca="false">IF('Bedaya vs Mindbody'!D124="","",'Bedaya vs Mindbody'!D124)</f>
        <v>100cm (upper only)</v>
      </c>
      <c r="F42" s="4" t="n">
        <f aca="false">IF('Bedaya vs Mindbody'!E124="","",'Bedaya vs Mindbody'!E124)</f>
        <v>1</v>
      </c>
      <c r="G42" s="4" t="str">
        <f aca="false">IF('Bedaya vs Mindbody'!F124="","",'Bedaya vs Mindbody'!F124)</f>
        <v/>
      </c>
      <c r="H42" s="4" t="str">
        <f aca="false">IF('Bedaya vs Mindbody'!G124="","",'Bedaya vs Mindbody'!G124)</f>
        <v/>
      </c>
      <c r="I42" s="10" t="str">
        <f aca="false">IF('Bedaya vs Mindbody'!I124="","",'Bedaya vs Mindbody'!I124)</f>
        <v>Old / no-logo / no-program stock - not listed in Mindbody</v>
      </c>
    </row>
    <row r="43" customFormat="false" ht="15" hidden="false" customHeight="false" outlineLevel="0" collapsed="false">
      <c r="A43" s="2" t="str">
        <f aca="false">IF('Bedaya vs Mindbody'!H126="","",'Bedaya vs Mindbody'!H126)</f>
        <v>Not in Mindbody</v>
      </c>
      <c r="B43" s="2" t="str">
        <f aca="false">IF('Bedaya vs Mindbody'!A126="","",'Bedaya vs Mindbody'!A126)</f>
        <v>(no Mindbody product)</v>
      </c>
      <c r="C43" s="2" t="str">
        <f aca="false">IF('Bedaya vs Mindbody'!B126="","",'Bedaya vs Mindbody'!B126)</f>
        <v>Judo Uniform - 130cm</v>
      </c>
      <c r="D43" s="2" t="str">
        <f aca="false">IF('Bedaya vs Mindbody'!C126="","",'Bedaya vs Mindbody'!C126)</f>
        <v>Judo Uniform (No Logo)</v>
      </c>
      <c r="E43" s="4" t="str">
        <f aca="false">IF('Bedaya vs Mindbody'!D126="","",'Bedaya vs Mindbody'!D126)</f>
        <v>130cm</v>
      </c>
      <c r="F43" s="4" t="n">
        <f aca="false">IF('Bedaya vs Mindbody'!E126="","",'Bedaya vs Mindbody'!E126)</f>
        <v>7</v>
      </c>
      <c r="G43" s="4" t="str">
        <f aca="false">IF('Bedaya vs Mindbody'!F126="","",'Bedaya vs Mindbody'!F126)</f>
        <v/>
      </c>
      <c r="H43" s="4" t="str">
        <f aca="false">IF('Bedaya vs Mindbody'!G126="","",'Bedaya vs Mindbody'!G126)</f>
        <v/>
      </c>
      <c r="I43" s="10" t="str">
        <f aca="false">IF('Bedaya vs Mindbody'!I126="","",'Bedaya vs Mindbody'!I126)</f>
        <v>Old / no-logo / no-program stock - not listed in Mindbody</v>
      </c>
    </row>
    <row r="44" customFormat="false" ht="15" hidden="false" customHeight="false" outlineLevel="0" collapsed="false">
      <c r="A44" s="2" t="str">
        <f aca="false">IF('Bedaya vs Mindbody'!H127="","",'Bedaya vs Mindbody'!H127)</f>
        <v>Not in Mindbody</v>
      </c>
      <c r="B44" s="2" t="str">
        <f aca="false">IF('Bedaya vs Mindbody'!A127="","",'Bedaya vs Mindbody'!A127)</f>
        <v>(no Mindbody product)</v>
      </c>
      <c r="C44" s="2" t="str">
        <f aca="false">IF('Bedaya vs Mindbody'!B127="","",'Bedaya vs Mindbody'!B127)</f>
        <v>Judo Uniform - 120cm</v>
      </c>
      <c r="D44" s="2" t="str">
        <f aca="false">IF('Bedaya vs Mindbody'!C127="","",'Bedaya vs Mindbody'!C127)</f>
        <v>Judo Uniform (No Logo)</v>
      </c>
      <c r="E44" s="4" t="str">
        <f aca="false">IF('Bedaya vs Mindbody'!D127="","",'Bedaya vs Mindbody'!D127)</f>
        <v>120cm</v>
      </c>
      <c r="F44" s="4" t="n">
        <f aca="false">IF('Bedaya vs Mindbody'!E127="","",'Bedaya vs Mindbody'!E127)</f>
        <v>29</v>
      </c>
      <c r="G44" s="4" t="str">
        <f aca="false">IF('Bedaya vs Mindbody'!F127="","",'Bedaya vs Mindbody'!F127)</f>
        <v/>
      </c>
      <c r="H44" s="4" t="str">
        <f aca="false">IF('Bedaya vs Mindbody'!G127="","",'Bedaya vs Mindbody'!G127)</f>
        <v/>
      </c>
      <c r="I44" s="10" t="str">
        <f aca="false">IF('Bedaya vs Mindbody'!I127="","",'Bedaya vs Mindbody'!I127)</f>
        <v>Old / no-logo / no-program stock - not listed in Mindbody</v>
      </c>
    </row>
    <row r="45" customFormat="false" ht="15" hidden="false" customHeight="false" outlineLevel="0" collapsed="false">
      <c r="A45" s="2" t="str">
        <f aca="false">IF('Bedaya vs Mindbody'!H128="","",'Bedaya vs Mindbody'!H128)</f>
        <v>Not in Mindbody</v>
      </c>
      <c r="B45" s="2" t="str">
        <f aca="false">IF('Bedaya vs Mindbody'!A128="","",'Bedaya vs Mindbody'!A128)</f>
        <v>(no Mindbody product)</v>
      </c>
      <c r="C45" s="2" t="str">
        <f aca="false">IF('Bedaya vs Mindbody'!B128="","",'Bedaya vs Mindbody'!B128)</f>
        <v>Judo Uniform - 100cm</v>
      </c>
      <c r="D45" s="2" t="str">
        <f aca="false">IF('Bedaya vs Mindbody'!C128="","",'Bedaya vs Mindbody'!C128)</f>
        <v>Judo Uniform (No Logo)</v>
      </c>
      <c r="E45" s="4" t="str">
        <f aca="false">IF('Bedaya vs Mindbody'!D128="","",'Bedaya vs Mindbody'!D128)</f>
        <v>100cm</v>
      </c>
      <c r="F45" s="4" t="n">
        <f aca="false">IF('Bedaya vs Mindbody'!E128="","",'Bedaya vs Mindbody'!E128)</f>
        <v>8</v>
      </c>
      <c r="G45" s="4" t="str">
        <f aca="false">IF('Bedaya vs Mindbody'!F128="","",'Bedaya vs Mindbody'!F128)</f>
        <v/>
      </c>
      <c r="H45" s="4" t="str">
        <f aca="false">IF('Bedaya vs Mindbody'!G128="","",'Bedaya vs Mindbody'!G128)</f>
        <v/>
      </c>
      <c r="I45" s="10" t="str">
        <f aca="false">IF('Bedaya vs Mindbody'!I128="","",'Bedaya vs Mindbody'!I128)</f>
        <v>Old / no-logo / no-program stock - not listed in Mindbody</v>
      </c>
    </row>
    <row r="46" customFormat="false" ht="15" hidden="false" customHeight="false" outlineLevel="0" collapsed="false">
      <c r="A46" s="2" t="str">
        <f aca="false">IF('Bedaya vs Mindbody'!H16="","",'Bedaya vs Mindbody'!H16)</f>
        <v>Not counted</v>
      </c>
      <c r="B46" s="2" t="str">
        <f aca="false">IF('Bedaya vs Mindbody'!A16="","",'Bedaya vs Mindbody'!A16)</f>
        <v>Boys Protective Gear</v>
      </c>
      <c r="C46" s="2" t="str">
        <f aca="false">IF('Bedaya vs Mindbody'!B16="","",'Bedaya vs Mindbody'!B16)</f>
        <v>(none)</v>
      </c>
      <c r="D46" s="2" t="str">
        <f aca="false">IF('Bedaya vs Mindbody'!C16="","",'Bedaya vs Mindbody'!C16)</f>
        <v/>
      </c>
      <c r="E46" s="4" t="str">
        <f aca="false">IF('Bedaya vs Mindbody'!D16="","",'Bedaya vs Mindbody'!D16)</f>
        <v/>
      </c>
      <c r="F46" s="4" t="str">
        <f aca="false">IF('Bedaya vs Mindbody'!E16="","",'Bedaya vs Mindbody'!E16)</f>
        <v/>
      </c>
      <c r="G46" s="4" t="n">
        <f aca="false">IF('Bedaya vs Mindbody'!F16="","",'Bedaya vs Mindbody'!F16)</f>
        <v>16</v>
      </c>
      <c r="H46" s="4" t="str">
        <f aca="false">IF('Bedaya vs Mindbody'!G16="","",'Bedaya vs Mindbody'!G16)</f>
        <v/>
      </c>
      <c r="I46" s="10" t="str">
        <f aca="false">IF('Bedaya vs Mindbody'!I16="","",'Bedaya vs Mindbody'!I16)</f>
        <v>In Mindbody, not counted in store</v>
      </c>
    </row>
    <row r="47" customFormat="false" ht="15" hidden="false" customHeight="false" outlineLevel="0" collapsed="false">
      <c r="A47" s="2" t="str">
        <f aca="false">IF('Bedaya vs Mindbody'!H18="","",'Bedaya vs Mindbody'!H18)</f>
        <v>Not counted</v>
      </c>
      <c r="B47" s="2" t="str">
        <f aca="false">IF('Bedaya vs Mindbody'!A18="","",'Bedaya vs Mindbody'!A18)</f>
        <v>Elite Jacket</v>
      </c>
      <c r="C47" s="2" t="str">
        <f aca="false">IF('Bedaya vs Mindbody'!B18="","",'Bedaya vs Mindbody'!B18)</f>
        <v>Large</v>
      </c>
      <c r="D47" s="2" t="str">
        <f aca="false">IF('Bedaya vs Mindbody'!C18="","",'Bedaya vs Mindbody'!C18)</f>
        <v/>
      </c>
      <c r="E47" s="4" t="str">
        <f aca="false">IF('Bedaya vs Mindbody'!D18="","",'Bedaya vs Mindbody'!D18)</f>
        <v/>
      </c>
      <c r="F47" s="4" t="str">
        <f aca="false">IF('Bedaya vs Mindbody'!E18="","",'Bedaya vs Mindbody'!E18)</f>
        <v/>
      </c>
      <c r="G47" s="4" t="n">
        <f aca="false">IF('Bedaya vs Mindbody'!F18="","",'Bedaya vs Mindbody'!F18)</f>
        <v>1</v>
      </c>
      <c r="H47" s="4" t="str">
        <f aca="false">IF('Bedaya vs Mindbody'!G18="","",'Bedaya vs Mindbody'!G18)</f>
        <v/>
      </c>
      <c r="I47" s="10" t="str">
        <f aca="false">IF('Bedaya vs Mindbody'!I18="","",'Bedaya vs Mindbody'!I18)</f>
        <v>In Mindbody, not counted in store</v>
      </c>
    </row>
    <row r="48" customFormat="false" ht="15" hidden="false" customHeight="false" outlineLevel="0" collapsed="false">
      <c r="A48" s="2" t="str">
        <f aca="false">IF('Bedaya vs Mindbody'!H19="","",'Bedaya vs Mindbody'!H19)</f>
        <v>Not counted</v>
      </c>
      <c r="B48" s="2" t="str">
        <f aca="false">IF('Bedaya vs Mindbody'!A19="","",'Bedaya vs Mindbody'!A19)</f>
        <v>Elite Shirt (Black)</v>
      </c>
      <c r="C48" s="2" t="str">
        <f aca="false">IF('Bedaya vs Mindbody'!B19="","",'Bedaya vs Mindbody'!B19)</f>
        <v>(none)</v>
      </c>
      <c r="D48" s="2" t="str">
        <f aca="false">IF('Bedaya vs Mindbody'!C19="","",'Bedaya vs Mindbody'!C19)</f>
        <v/>
      </c>
      <c r="E48" s="4" t="str">
        <f aca="false">IF('Bedaya vs Mindbody'!D19="","",'Bedaya vs Mindbody'!D19)</f>
        <v/>
      </c>
      <c r="F48" s="4" t="str">
        <f aca="false">IF('Bedaya vs Mindbody'!E19="","",'Bedaya vs Mindbody'!E19)</f>
        <v/>
      </c>
      <c r="G48" s="4" t="n">
        <f aca="false">IF('Bedaya vs Mindbody'!F19="","",'Bedaya vs Mindbody'!F19)</f>
        <v>7</v>
      </c>
      <c r="H48" s="4" t="str">
        <f aca="false">IF('Bedaya vs Mindbody'!G19="","",'Bedaya vs Mindbody'!G19)</f>
        <v/>
      </c>
      <c r="I48" s="10" t="str">
        <f aca="false">IF('Bedaya vs Mindbody'!I19="","",'Bedaya vs Mindbody'!I19)</f>
        <v>In Mindbody, not counted in store</v>
      </c>
    </row>
    <row r="49" customFormat="false" ht="15" hidden="false" customHeight="false" outlineLevel="0" collapsed="false">
      <c r="A49" s="2" t="str">
        <f aca="false">IF('Bedaya vs Mindbody'!H26="","",'Bedaya vs Mindbody'!H26)</f>
        <v>Not counted</v>
      </c>
      <c r="B49" s="2" t="str">
        <f aca="false">IF('Bedaya vs Mindbody'!A26="","",'Bedaya vs Mindbody'!A26)</f>
        <v>Elite Shirt (White)</v>
      </c>
      <c r="C49" s="2" t="str">
        <f aca="false">IF('Bedaya vs Mindbody'!B26="","",'Bedaya vs Mindbody'!B26)</f>
        <v>X Large</v>
      </c>
      <c r="D49" s="2" t="str">
        <f aca="false">IF('Bedaya vs Mindbody'!C26="","",'Bedaya vs Mindbody'!C26)</f>
        <v/>
      </c>
      <c r="E49" s="4" t="str">
        <f aca="false">IF('Bedaya vs Mindbody'!D26="","",'Bedaya vs Mindbody'!D26)</f>
        <v/>
      </c>
      <c r="F49" s="4" t="str">
        <f aca="false">IF('Bedaya vs Mindbody'!E26="","",'Bedaya vs Mindbody'!E26)</f>
        <v/>
      </c>
      <c r="G49" s="4" t="n">
        <f aca="false">IF('Bedaya vs Mindbody'!F26="","",'Bedaya vs Mindbody'!F26)</f>
        <v>2</v>
      </c>
      <c r="H49" s="4" t="str">
        <f aca="false">IF('Bedaya vs Mindbody'!G26="","",'Bedaya vs Mindbody'!G26)</f>
        <v/>
      </c>
      <c r="I49" s="10" t="str">
        <f aca="false">IF('Bedaya vs Mindbody'!I26="","",'Bedaya vs Mindbody'!I26)</f>
        <v>In Mindbody, not counted in store</v>
      </c>
    </row>
    <row r="50" customFormat="false" ht="15" hidden="false" customHeight="false" outlineLevel="0" collapsed="false">
      <c r="A50" s="2" t="str">
        <f aca="false">IF('Bedaya vs Mindbody'!H27="","",'Bedaya vs Mindbody'!H27)</f>
        <v>Not counted</v>
      </c>
      <c r="B50" s="2" t="str">
        <f aca="false">IF('Bedaya vs Mindbody'!A27="","",'Bedaya vs Mindbody'!A27)</f>
        <v>Elite Shirt (White)</v>
      </c>
      <c r="C50" s="2" t="str">
        <f aca="false">IF('Bedaya vs Mindbody'!B27="","",'Bedaya vs Mindbody'!B27)</f>
        <v>9 - 10</v>
      </c>
      <c r="D50" s="2" t="str">
        <f aca="false">IF('Bedaya vs Mindbody'!C27="","",'Bedaya vs Mindbody'!C27)</f>
        <v/>
      </c>
      <c r="E50" s="4" t="str">
        <f aca="false">IF('Bedaya vs Mindbody'!D27="","",'Bedaya vs Mindbody'!D27)</f>
        <v/>
      </c>
      <c r="F50" s="4" t="str">
        <f aca="false">IF('Bedaya vs Mindbody'!E27="","",'Bedaya vs Mindbody'!E27)</f>
        <v/>
      </c>
      <c r="G50" s="4" t="n">
        <f aca="false">IF('Bedaya vs Mindbody'!F27="","",'Bedaya vs Mindbody'!F27)</f>
        <v>-3</v>
      </c>
      <c r="H50" s="4" t="str">
        <f aca="false">IF('Bedaya vs Mindbody'!G27="","",'Bedaya vs Mindbody'!G27)</f>
        <v/>
      </c>
      <c r="I50" s="10" t="str">
        <f aca="false">IF('Bedaya vs Mindbody'!I27="","",'Bedaya vs Mindbody'!I27)</f>
        <v>NEGATIVE stock in Mindbody - adjust</v>
      </c>
    </row>
    <row r="51" customFormat="false" ht="15" hidden="false" customHeight="false" outlineLevel="0" collapsed="false">
      <c r="A51" s="2" t="str">
        <f aca="false">IF('Bedaya vs Mindbody'!H28="","",'Bedaya vs Mindbody'!H28)</f>
        <v>Not counted</v>
      </c>
      <c r="B51" s="2" t="str">
        <f aca="false">IF('Bedaya vs Mindbody'!A28="","",'Bedaya vs Mindbody'!A28)</f>
        <v>Elite Tournament</v>
      </c>
      <c r="C51" s="2" t="str">
        <f aca="false">IF('Bedaya vs Mindbody'!B28="","",'Bedaya vs Mindbody'!B28)</f>
        <v>(none)</v>
      </c>
      <c r="D51" s="2" t="str">
        <f aca="false">IF('Bedaya vs Mindbody'!C28="","",'Bedaya vs Mindbody'!C28)</f>
        <v/>
      </c>
      <c r="E51" s="4" t="str">
        <f aca="false">IF('Bedaya vs Mindbody'!D28="","",'Bedaya vs Mindbody'!D28)</f>
        <v/>
      </c>
      <c r="F51" s="4" t="str">
        <f aca="false">IF('Bedaya vs Mindbody'!E28="","",'Bedaya vs Mindbody'!E28)</f>
        <v/>
      </c>
      <c r="G51" s="4" t="n">
        <f aca="false">IF('Bedaya vs Mindbody'!F28="","",'Bedaya vs Mindbody'!F28)</f>
        <v>-1</v>
      </c>
      <c r="H51" s="4" t="str">
        <f aca="false">IF('Bedaya vs Mindbody'!G28="","",'Bedaya vs Mindbody'!G28)</f>
        <v/>
      </c>
      <c r="I51" s="10" t="str">
        <f aca="false">IF('Bedaya vs Mindbody'!I28="","",'Bedaya vs Mindbody'!I28)</f>
        <v>Event/service item with negative stock - not a physical item</v>
      </c>
    </row>
    <row r="52" customFormat="false" ht="15" hidden="false" customHeight="false" outlineLevel="0" collapsed="false">
      <c r="A52" s="2" t="str">
        <f aca="false">IF('Bedaya vs Mindbody'!H29="","",'Bedaya vs Mindbody'!H29)</f>
        <v>Not counted</v>
      </c>
      <c r="B52" s="2" t="str">
        <f aca="false">IF('Bedaya vs Mindbody'!A29="","",'Bedaya vs Mindbody'!A29)</f>
        <v>Free Belts</v>
      </c>
      <c r="C52" s="2" t="str">
        <f aca="false">IF('Bedaya vs Mindbody'!B29="","",'Bedaya vs Mindbody'!B29)</f>
        <v>Black</v>
      </c>
      <c r="D52" s="2" t="str">
        <f aca="false">IF('Bedaya vs Mindbody'!C29="","",'Bedaya vs Mindbody'!C29)</f>
        <v/>
      </c>
      <c r="E52" s="4" t="str">
        <f aca="false">IF('Bedaya vs Mindbody'!D29="","",'Bedaya vs Mindbody'!D29)</f>
        <v/>
      </c>
      <c r="F52" s="4" t="str">
        <f aca="false">IF('Bedaya vs Mindbody'!E29="","",'Bedaya vs Mindbody'!E29)</f>
        <v/>
      </c>
      <c r="G52" s="4" t="n">
        <f aca="false">IF('Bedaya vs Mindbody'!F29="","",'Bedaya vs Mindbody'!F29)</f>
        <v>1</v>
      </c>
      <c r="H52" s="4" t="str">
        <f aca="false">IF('Bedaya vs Mindbody'!G29="","",'Bedaya vs Mindbody'!G29)</f>
        <v/>
      </c>
      <c r="I52" s="10" t="str">
        <f aca="false">IF('Bedaya vs Mindbody'!I29="","",'Bedaya vs Mindbody'!I29)</f>
        <v>In Mindbody, not counted in store</v>
      </c>
    </row>
    <row r="53" customFormat="false" ht="15" hidden="false" customHeight="false" outlineLevel="0" collapsed="false">
      <c r="A53" s="2" t="str">
        <f aca="false">IF('Bedaya vs Mindbody'!H30="","",'Bedaya vs Mindbody'!H30)</f>
        <v>Not counted</v>
      </c>
      <c r="B53" s="2" t="str">
        <f aca="false">IF('Bedaya vs Mindbody'!A30="","",'Bedaya vs Mindbody'!A30)</f>
        <v>Free Belts</v>
      </c>
      <c r="C53" s="2" t="str">
        <f aca="false">IF('Bedaya vs Mindbody'!B30="","",'Bedaya vs Mindbody'!B30)</f>
        <v>Blue</v>
      </c>
      <c r="D53" s="2" t="str">
        <f aca="false">IF('Bedaya vs Mindbody'!C30="","",'Bedaya vs Mindbody'!C30)</f>
        <v/>
      </c>
      <c r="E53" s="4" t="str">
        <f aca="false">IF('Bedaya vs Mindbody'!D30="","",'Bedaya vs Mindbody'!D30)</f>
        <v/>
      </c>
      <c r="F53" s="4" t="str">
        <f aca="false">IF('Bedaya vs Mindbody'!E30="","",'Bedaya vs Mindbody'!E30)</f>
        <v/>
      </c>
      <c r="G53" s="4" t="n">
        <f aca="false">IF('Bedaya vs Mindbody'!F30="","",'Bedaya vs Mindbody'!F30)</f>
        <v>16</v>
      </c>
      <c r="H53" s="4" t="str">
        <f aca="false">IF('Bedaya vs Mindbody'!G30="","",'Bedaya vs Mindbody'!G30)</f>
        <v/>
      </c>
      <c r="I53" s="10" t="str">
        <f aca="false">IF('Bedaya vs Mindbody'!I30="","",'Bedaya vs Mindbody'!I30)</f>
        <v>In Mindbody, not counted in store</v>
      </c>
    </row>
    <row r="54" customFormat="false" ht="15" hidden="false" customHeight="false" outlineLevel="0" collapsed="false">
      <c r="A54" s="2" t="str">
        <f aca="false">IF('Bedaya vs Mindbody'!H31="","",'Bedaya vs Mindbody'!H31)</f>
        <v>Not counted</v>
      </c>
      <c r="B54" s="2" t="str">
        <f aca="false">IF('Bedaya vs Mindbody'!A31="","",'Bedaya vs Mindbody'!A31)</f>
        <v>Free Belts</v>
      </c>
      <c r="C54" s="2" t="str">
        <f aca="false">IF('Bedaya vs Mindbody'!B31="","",'Bedaya vs Mindbody'!B31)</f>
        <v>Brown</v>
      </c>
      <c r="D54" s="2" t="str">
        <f aca="false">IF('Bedaya vs Mindbody'!C31="","",'Bedaya vs Mindbody'!C31)</f>
        <v/>
      </c>
      <c r="E54" s="4" t="str">
        <f aca="false">IF('Bedaya vs Mindbody'!D31="","",'Bedaya vs Mindbody'!D31)</f>
        <v/>
      </c>
      <c r="F54" s="4" t="str">
        <f aca="false">IF('Bedaya vs Mindbody'!E31="","",'Bedaya vs Mindbody'!E31)</f>
        <v/>
      </c>
      <c r="G54" s="4" t="n">
        <f aca="false">IF('Bedaya vs Mindbody'!F31="","",'Bedaya vs Mindbody'!F31)</f>
        <v>7</v>
      </c>
      <c r="H54" s="4" t="str">
        <f aca="false">IF('Bedaya vs Mindbody'!G31="","",'Bedaya vs Mindbody'!G31)</f>
        <v/>
      </c>
      <c r="I54" s="10" t="str">
        <f aca="false">IF('Bedaya vs Mindbody'!I31="","",'Bedaya vs Mindbody'!I31)</f>
        <v>In Mindbody, not counted in store</v>
      </c>
    </row>
    <row r="55" customFormat="false" ht="15" hidden="false" customHeight="false" outlineLevel="0" collapsed="false">
      <c r="A55" s="2" t="str">
        <f aca="false">IF('Bedaya vs Mindbody'!H32="","",'Bedaya vs Mindbody'!H32)</f>
        <v>Not counted</v>
      </c>
      <c r="B55" s="2" t="str">
        <f aca="false">IF('Bedaya vs Mindbody'!A32="","",'Bedaya vs Mindbody'!A32)</f>
        <v>Free Belts</v>
      </c>
      <c r="C55" s="2" t="str">
        <f aca="false">IF('Bedaya vs Mindbody'!B32="","",'Bedaya vs Mindbody'!B32)</f>
        <v>Green</v>
      </c>
      <c r="D55" s="2" t="str">
        <f aca="false">IF('Bedaya vs Mindbody'!C32="","",'Bedaya vs Mindbody'!C32)</f>
        <v/>
      </c>
      <c r="E55" s="4" t="str">
        <f aca="false">IF('Bedaya vs Mindbody'!D32="","",'Bedaya vs Mindbody'!D32)</f>
        <v/>
      </c>
      <c r="F55" s="4" t="str">
        <f aca="false">IF('Bedaya vs Mindbody'!E32="","",'Bedaya vs Mindbody'!E32)</f>
        <v/>
      </c>
      <c r="G55" s="4" t="n">
        <f aca="false">IF('Bedaya vs Mindbody'!F32="","",'Bedaya vs Mindbody'!F32)</f>
        <v>16</v>
      </c>
      <c r="H55" s="4" t="str">
        <f aca="false">IF('Bedaya vs Mindbody'!G32="","",'Bedaya vs Mindbody'!G32)</f>
        <v/>
      </c>
      <c r="I55" s="10" t="str">
        <f aca="false">IF('Bedaya vs Mindbody'!I32="","",'Bedaya vs Mindbody'!I32)</f>
        <v>In Mindbody, not counted in store</v>
      </c>
    </row>
    <row r="56" customFormat="false" ht="15" hidden="false" customHeight="false" outlineLevel="0" collapsed="false">
      <c r="A56" s="2" t="str">
        <f aca="false">IF('Bedaya vs Mindbody'!H33="","",'Bedaya vs Mindbody'!H33)</f>
        <v>Not counted</v>
      </c>
      <c r="B56" s="2" t="str">
        <f aca="false">IF('Bedaya vs Mindbody'!A33="","",'Bedaya vs Mindbody'!A33)</f>
        <v>Free Belts</v>
      </c>
      <c r="C56" s="2" t="str">
        <f aca="false">IF('Bedaya vs Mindbody'!B33="","",'Bedaya vs Mindbody'!B33)</f>
        <v>Orange</v>
      </c>
      <c r="D56" s="2" t="str">
        <f aca="false">IF('Bedaya vs Mindbody'!C33="","",'Bedaya vs Mindbody'!C33)</f>
        <v/>
      </c>
      <c r="E56" s="4" t="str">
        <f aca="false">IF('Bedaya vs Mindbody'!D33="","",'Bedaya vs Mindbody'!D33)</f>
        <v/>
      </c>
      <c r="F56" s="4" t="str">
        <f aca="false">IF('Bedaya vs Mindbody'!E33="","",'Bedaya vs Mindbody'!E33)</f>
        <v/>
      </c>
      <c r="G56" s="4" t="n">
        <f aca="false">IF('Bedaya vs Mindbody'!F33="","",'Bedaya vs Mindbody'!F33)</f>
        <v>25</v>
      </c>
      <c r="H56" s="4" t="str">
        <f aca="false">IF('Bedaya vs Mindbody'!G33="","",'Bedaya vs Mindbody'!G33)</f>
        <v/>
      </c>
      <c r="I56" s="10" t="str">
        <f aca="false">IF('Bedaya vs Mindbody'!I33="","",'Bedaya vs Mindbody'!I33)</f>
        <v>In Mindbody, not counted in store</v>
      </c>
    </row>
    <row r="57" customFormat="false" ht="15" hidden="false" customHeight="false" outlineLevel="0" collapsed="false">
      <c r="A57" s="2" t="str">
        <f aca="false">IF('Bedaya vs Mindbody'!H34="","",'Bedaya vs Mindbody'!H34)</f>
        <v>Not counted</v>
      </c>
      <c r="B57" s="2" t="str">
        <f aca="false">IF('Bedaya vs Mindbody'!A34="","",'Bedaya vs Mindbody'!A34)</f>
        <v>Free Belts</v>
      </c>
      <c r="C57" s="2" t="str">
        <f aca="false">IF('Bedaya vs Mindbody'!B34="","",'Bedaya vs Mindbody'!B34)</f>
        <v>Purple</v>
      </c>
      <c r="D57" s="2" t="str">
        <f aca="false">IF('Bedaya vs Mindbody'!C34="","",'Bedaya vs Mindbody'!C34)</f>
        <v/>
      </c>
      <c r="E57" s="4" t="str">
        <f aca="false">IF('Bedaya vs Mindbody'!D34="","",'Bedaya vs Mindbody'!D34)</f>
        <v/>
      </c>
      <c r="F57" s="4" t="str">
        <f aca="false">IF('Bedaya vs Mindbody'!E34="","",'Bedaya vs Mindbody'!E34)</f>
        <v/>
      </c>
      <c r="G57" s="4" t="n">
        <f aca="false">IF('Bedaya vs Mindbody'!F34="","",'Bedaya vs Mindbody'!F34)</f>
        <v>31</v>
      </c>
      <c r="H57" s="4" t="str">
        <f aca="false">IF('Bedaya vs Mindbody'!G34="","",'Bedaya vs Mindbody'!G34)</f>
        <v/>
      </c>
      <c r="I57" s="10" t="str">
        <f aca="false">IF('Bedaya vs Mindbody'!I34="","",'Bedaya vs Mindbody'!I34)</f>
        <v>In Mindbody, not counted in store</v>
      </c>
    </row>
    <row r="58" customFormat="false" ht="15" hidden="false" customHeight="false" outlineLevel="0" collapsed="false">
      <c r="A58" s="2" t="str">
        <f aca="false">IF('Bedaya vs Mindbody'!H35="","",'Bedaya vs Mindbody'!H35)</f>
        <v>Not counted</v>
      </c>
      <c r="B58" s="2" t="str">
        <f aca="false">IF('Bedaya vs Mindbody'!A35="","",'Bedaya vs Mindbody'!A35)</f>
        <v>Free Belts</v>
      </c>
      <c r="C58" s="2" t="str">
        <f aca="false">IF('Bedaya vs Mindbody'!B35="","",'Bedaya vs Mindbody'!B35)</f>
        <v>Red</v>
      </c>
      <c r="D58" s="2" t="str">
        <f aca="false">IF('Bedaya vs Mindbody'!C35="","",'Bedaya vs Mindbody'!C35)</f>
        <v/>
      </c>
      <c r="E58" s="4" t="str">
        <f aca="false">IF('Bedaya vs Mindbody'!D35="","",'Bedaya vs Mindbody'!D35)</f>
        <v/>
      </c>
      <c r="F58" s="4" t="str">
        <f aca="false">IF('Bedaya vs Mindbody'!E35="","",'Bedaya vs Mindbody'!E35)</f>
        <v/>
      </c>
      <c r="G58" s="4" t="n">
        <f aca="false">IF('Bedaya vs Mindbody'!F35="","",'Bedaya vs Mindbody'!F35)</f>
        <v>21</v>
      </c>
      <c r="H58" s="4" t="str">
        <f aca="false">IF('Bedaya vs Mindbody'!G35="","",'Bedaya vs Mindbody'!G35)</f>
        <v/>
      </c>
      <c r="I58" s="10" t="str">
        <f aca="false">IF('Bedaya vs Mindbody'!I35="","",'Bedaya vs Mindbody'!I35)</f>
        <v>In Mindbody, not counted in store</v>
      </c>
    </row>
    <row r="59" customFormat="false" ht="15" hidden="false" customHeight="false" outlineLevel="0" collapsed="false">
      <c r="A59" s="2" t="str">
        <f aca="false">IF('Bedaya vs Mindbody'!H36="","",'Bedaya vs Mindbody'!H36)</f>
        <v>Not counted</v>
      </c>
      <c r="B59" s="2" t="str">
        <f aca="false">IF('Bedaya vs Mindbody'!A36="","",'Bedaya vs Mindbody'!A36)</f>
        <v>Free Belts</v>
      </c>
      <c r="C59" s="2" t="str">
        <f aca="false">IF('Bedaya vs Mindbody'!B36="","",'Bedaya vs Mindbody'!B36)</f>
        <v>Yellow</v>
      </c>
      <c r="D59" s="2" t="str">
        <f aca="false">IF('Bedaya vs Mindbody'!C36="","",'Bedaya vs Mindbody'!C36)</f>
        <v/>
      </c>
      <c r="E59" s="4" t="str">
        <f aca="false">IF('Bedaya vs Mindbody'!D36="","",'Bedaya vs Mindbody'!D36)</f>
        <v/>
      </c>
      <c r="F59" s="4" t="str">
        <f aca="false">IF('Bedaya vs Mindbody'!E36="","",'Bedaya vs Mindbody'!E36)</f>
        <v/>
      </c>
      <c r="G59" s="4" t="n">
        <f aca="false">IF('Bedaya vs Mindbody'!F36="","",'Bedaya vs Mindbody'!F36)</f>
        <v>20</v>
      </c>
      <c r="H59" s="4" t="str">
        <f aca="false">IF('Bedaya vs Mindbody'!G36="","",'Bedaya vs Mindbody'!G36)</f>
        <v/>
      </c>
      <c r="I59" s="10" t="str">
        <f aca="false">IF('Bedaya vs Mindbody'!I36="","",'Bedaya vs Mindbody'!I36)</f>
        <v>In Mindbody, not counted in store</v>
      </c>
    </row>
    <row r="60" customFormat="false" ht="15" hidden="false" customHeight="false" outlineLevel="0" collapsed="false">
      <c r="A60" s="2" t="str">
        <f aca="false">IF('Bedaya vs Mindbody'!H62="","",'Bedaya vs Mindbody'!H62)</f>
        <v>Not counted</v>
      </c>
      <c r="B60" s="2" t="str">
        <f aca="false">IF('Bedaya vs Mindbody'!A62="","",'Bedaya vs Mindbody'!A62)</f>
        <v>Kyokushin Gloves</v>
      </c>
      <c r="C60" s="2" t="str">
        <f aca="false">IF('Bedaya vs Mindbody'!B62="","",'Bedaya vs Mindbody'!B62)</f>
        <v>Medium</v>
      </c>
      <c r="D60" s="2" t="str">
        <f aca="false">IF('Bedaya vs Mindbody'!C62="","",'Bedaya vs Mindbody'!C62)</f>
        <v/>
      </c>
      <c r="E60" s="4" t="str">
        <f aca="false">IF('Bedaya vs Mindbody'!D62="","",'Bedaya vs Mindbody'!D62)</f>
        <v/>
      </c>
      <c r="F60" s="4" t="str">
        <f aca="false">IF('Bedaya vs Mindbody'!E62="","",'Bedaya vs Mindbody'!E62)</f>
        <v/>
      </c>
      <c r="G60" s="4" t="n">
        <f aca="false">IF('Bedaya vs Mindbody'!F62="","",'Bedaya vs Mindbody'!F62)</f>
        <v>12</v>
      </c>
      <c r="H60" s="4" t="str">
        <f aca="false">IF('Bedaya vs Mindbody'!G62="","",'Bedaya vs Mindbody'!G62)</f>
        <v/>
      </c>
      <c r="I60" s="10" t="str">
        <f aca="false">IF('Bedaya vs Mindbody'!I62="","",'Bedaya vs Mindbody'!I62)</f>
        <v>In Mindbody, not counted in store</v>
      </c>
    </row>
    <row r="61" customFormat="false" ht="15" hidden="false" customHeight="false" outlineLevel="0" collapsed="false">
      <c r="A61" s="2" t="str">
        <f aca="false">IF('Bedaya vs Mindbody'!H63="","",'Bedaya vs Mindbody'!H63)</f>
        <v>Not counted</v>
      </c>
      <c r="B61" s="2" t="str">
        <f aca="false">IF('Bedaya vs Mindbody'!A63="","",'Bedaya vs Mindbody'!A63)</f>
        <v>Kyokushin Gloves</v>
      </c>
      <c r="C61" s="2" t="str">
        <f aca="false">IF('Bedaya vs Mindbody'!B63="","",'Bedaya vs Mindbody'!B63)</f>
        <v>Large</v>
      </c>
      <c r="D61" s="2" t="str">
        <f aca="false">IF('Bedaya vs Mindbody'!C63="","",'Bedaya vs Mindbody'!C63)</f>
        <v/>
      </c>
      <c r="E61" s="4" t="str">
        <f aca="false">IF('Bedaya vs Mindbody'!D63="","",'Bedaya vs Mindbody'!D63)</f>
        <v/>
      </c>
      <c r="F61" s="4" t="str">
        <f aca="false">IF('Bedaya vs Mindbody'!E63="","",'Bedaya vs Mindbody'!E63)</f>
        <v/>
      </c>
      <c r="G61" s="4" t="n">
        <f aca="false">IF('Bedaya vs Mindbody'!F63="","",'Bedaya vs Mindbody'!F63)</f>
        <v>3</v>
      </c>
      <c r="H61" s="4" t="str">
        <f aca="false">IF('Bedaya vs Mindbody'!G63="","",'Bedaya vs Mindbody'!G63)</f>
        <v/>
      </c>
      <c r="I61" s="10" t="str">
        <f aca="false">IF('Bedaya vs Mindbody'!I63="","",'Bedaya vs Mindbody'!I63)</f>
        <v>In Mindbody, not counted in store</v>
      </c>
    </row>
    <row r="62" customFormat="false" ht="15" hidden="false" customHeight="false" outlineLevel="0" collapsed="false">
      <c r="A62" s="2" t="str">
        <f aca="false">IF('Bedaya vs Mindbody'!H64="","",'Bedaya vs Mindbody'!H64)</f>
        <v>Not counted</v>
      </c>
      <c r="B62" s="2" t="str">
        <f aca="false">IF('Bedaya vs Mindbody'!A64="","",'Bedaya vs Mindbody'!A64)</f>
        <v>Kyokushin Test</v>
      </c>
      <c r="C62" s="2" t="str">
        <f aca="false">IF('Bedaya vs Mindbody'!B64="","",'Bedaya vs Mindbody'!B64)</f>
        <v>(none)</v>
      </c>
      <c r="D62" s="2" t="str">
        <f aca="false">IF('Bedaya vs Mindbody'!C64="","",'Bedaya vs Mindbody'!C64)</f>
        <v/>
      </c>
      <c r="E62" s="4" t="str">
        <f aca="false">IF('Bedaya vs Mindbody'!D64="","",'Bedaya vs Mindbody'!D64)</f>
        <v/>
      </c>
      <c r="F62" s="4" t="str">
        <f aca="false">IF('Bedaya vs Mindbody'!E64="","",'Bedaya vs Mindbody'!E64)</f>
        <v/>
      </c>
      <c r="G62" s="4" t="n">
        <f aca="false">IF('Bedaya vs Mindbody'!F64="","",'Bedaya vs Mindbody'!F64)</f>
        <v>-24</v>
      </c>
      <c r="H62" s="4" t="str">
        <f aca="false">IF('Bedaya vs Mindbody'!G64="","",'Bedaya vs Mindbody'!G64)</f>
        <v/>
      </c>
      <c r="I62" s="10" t="str">
        <f aca="false">IF('Bedaya vs Mindbody'!I64="","",'Bedaya vs Mindbody'!I64)</f>
        <v>Event/test item with negative stock - not a physical item</v>
      </c>
    </row>
    <row r="63" customFormat="false" ht="15" hidden="false" customHeight="false" outlineLevel="0" collapsed="false">
      <c r="A63" s="2" t="str">
        <f aca="false">IF('Bedaya vs Mindbody'!H77="","",'Bedaya vs Mindbody'!H77)</f>
        <v>Not counted</v>
      </c>
      <c r="B63" s="2" t="str">
        <f aca="false">IF('Bedaya vs Mindbody'!A77="","",'Bedaya vs Mindbody'!A77)</f>
        <v>New Judo</v>
      </c>
      <c r="C63" s="2" t="str">
        <f aca="false">IF('Bedaya vs Mindbody'!B77="","",'Bedaya vs Mindbody'!B77)</f>
        <v>170</v>
      </c>
      <c r="D63" s="2" t="str">
        <f aca="false">IF('Bedaya vs Mindbody'!C77="","",'Bedaya vs Mindbody'!C77)</f>
        <v>Judo Uniform</v>
      </c>
      <c r="E63" s="4" t="str">
        <f aca="false">IF('Bedaya vs Mindbody'!D77="","",'Bedaya vs Mindbody'!D77)</f>
        <v>170cm</v>
      </c>
      <c r="F63" s="4" t="str">
        <f aca="false">IF('Bedaya vs Mindbody'!E77="","",'Bedaya vs Mindbody'!E77)</f>
        <v/>
      </c>
      <c r="G63" s="4" t="n">
        <f aca="false">IF('Bedaya vs Mindbody'!F77="","",'Bedaya vs Mindbody'!F77)</f>
        <v>0</v>
      </c>
      <c r="H63" s="4" t="str">
        <f aca="false">IF('Bedaya vs Mindbody'!G77="","",'Bedaya vs Mindbody'!G77)</f>
        <v/>
      </c>
      <c r="I63" s="10" t="str">
        <f aca="false">IF('Bedaya vs Mindbody'!I77="","",'Bedaya vs Mindbody'!I77)</f>
        <v>Physical quantity was never written - confirm</v>
      </c>
    </row>
    <row r="64" customFormat="false" ht="15" hidden="false" customHeight="false" outlineLevel="0" collapsed="false">
      <c r="A64" s="2" t="str">
        <f aca="false">IF('Bedaya vs Mindbody'!H104="","",'Bedaya vs Mindbody'!H104)</f>
        <v>Not counted</v>
      </c>
      <c r="B64" s="2" t="str">
        <f aca="false">IF('Bedaya vs Mindbody'!A104="","",'Bedaya vs Mindbody'!A104)</f>
        <v>Staff Shirt</v>
      </c>
      <c r="C64" s="2" t="str">
        <f aca="false">IF('Bedaya vs Mindbody'!B104="","",'Bedaya vs Mindbody'!B104)</f>
        <v>X Large</v>
      </c>
      <c r="D64" s="2" t="str">
        <f aca="false">IF('Bedaya vs Mindbody'!C104="","",'Bedaya vs Mindbody'!C104)</f>
        <v/>
      </c>
      <c r="E64" s="4" t="str">
        <f aca="false">IF('Bedaya vs Mindbody'!D104="","",'Bedaya vs Mindbody'!D104)</f>
        <v/>
      </c>
      <c r="F64" s="4" t="str">
        <f aca="false">IF('Bedaya vs Mindbody'!E104="","",'Bedaya vs Mindbody'!E104)</f>
        <v/>
      </c>
      <c r="G64" s="4" t="n">
        <f aca="false">IF('Bedaya vs Mindbody'!F104="","",'Bedaya vs Mindbody'!F104)</f>
        <v>1</v>
      </c>
      <c r="H64" s="4" t="str">
        <f aca="false">IF('Bedaya vs Mindbody'!G104="","",'Bedaya vs Mindbody'!G104)</f>
        <v/>
      </c>
      <c r="I64" s="10" t="str">
        <f aca="false">IF('Bedaya vs Mindbody'!I104="","",'Bedaya vs Mindbody'!I104)</f>
        <v>In Mindbody, not counted in store</v>
      </c>
    </row>
    <row r="65" customFormat="false" ht="15" hidden="false" customHeight="false" outlineLevel="0" collapsed="false">
      <c r="A65" s="2" t="str">
        <f aca="false">IF('Bedaya vs Mindbody'!H107="","",'Bedaya vs Mindbody'!H107)</f>
        <v>Not counted</v>
      </c>
      <c r="B65" s="2" t="str">
        <f aca="false">IF('Bedaya vs Mindbody'!A107="","",'Bedaya vs Mindbody'!A107)</f>
        <v>Systema Shirt</v>
      </c>
      <c r="C65" s="2" t="str">
        <f aca="false">IF('Bedaya vs Mindbody'!B107="","",'Bedaya vs Mindbody'!B107)</f>
        <v>Black (no size)</v>
      </c>
      <c r="D65" s="2" t="str">
        <f aca="false">IF('Bedaya vs Mindbody'!C107="","",'Bedaya vs Mindbody'!C107)</f>
        <v/>
      </c>
      <c r="E65" s="4" t="str">
        <f aca="false">IF('Bedaya vs Mindbody'!D107="","",'Bedaya vs Mindbody'!D107)</f>
        <v/>
      </c>
      <c r="F65" s="4" t="str">
        <f aca="false">IF('Bedaya vs Mindbody'!E107="","",'Bedaya vs Mindbody'!E107)</f>
        <v/>
      </c>
      <c r="G65" s="4" t="n">
        <f aca="false">IF('Bedaya vs Mindbody'!F107="","",'Bedaya vs Mindbody'!F107)</f>
        <v>86</v>
      </c>
      <c r="H65" s="4" t="str">
        <f aca="false">IF('Bedaya vs Mindbody'!G107="","",'Bedaya vs Mindbody'!G107)</f>
        <v/>
      </c>
      <c r="I65" s="10" t="str">
        <f aca="false">IF('Bedaya vs Mindbody'!I107="","",'Bedaya vs Mindbody'!I107)</f>
        <v>In Mindbody, not counted in store</v>
      </c>
    </row>
    <row r="66" customFormat="false" ht="15" hidden="false" customHeight="false" outlineLevel="0" collapsed="false">
      <c r="A66" s="2" t="str">
        <f aca="false">IF('Bedaya vs Mindbody'!H111="","",'Bedaya vs Mindbody'!H111)</f>
        <v>Not counted</v>
      </c>
      <c r="B66" s="2" t="str">
        <f aca="false">IF('Bedaya vs Mindbody'!A111="","",'Bedaya vs Mindbody'!A111)</f>
        <v>Taekwondo Test</v>
      </c>
      <c r="C66" s="2" t="str">
        <f aca="false">IF('Bedaya vs Mindbody'!B111="","",'Bedaya vs Mindbody'!B111)</f>
        <v>(none)</v>
      </c>
      <c r="D66" s="2" t="str">
        <f aca="false">IF('Bedaya vs Mindbody'!C111="","",'Bedaya vs Mindbody'!C111)</f>
        <v/>
      </c>
      <c r="E66" s="4" t="str">
        <f aca="false">IF('Bedaya vs Mindbody'!D111="","",'Bedaya vs Mindbody'!D111)</f>
        <v/>
      </c>
      <c r="F66" s="4" t="str">
        <f aca="false">IF('Bedaya vs Mindbody'!E111="","",'Bedaya vs Mindbody'!E111)</f>
        <v/>
      </c>
      <c r="G66" s="4" t="n">
        <f aca="false">IF('Bedaya vs Mindbody'!F111="","",'Bedaya vs Mindbody'!F111)</f>
        <v>-11</v>
      </c>
      <c r="H66" s="4" t="str">
        <f aca="false">IF('Bedaya vs Mindbody'!G111="","",'Bedaya vs Mindbody'!G111)</f>
        <v/>
      </c>
      <c r="I66" s="10" t="str">
        <f aca="false">IF('Bedaya vs Mindbody'!I111="","",'Bedaya vs Mindbody'!I111)</f>
        <v>Event/test item with negative stock - not a physical item</v>
      </c>
    </row>
    <row r="67" customFormat="false" ht="15" hidden="false" customHeight="false" outlineLevel="0" collapsed="false">
      <c r="A67" s="2" t="str">
        <f aca="false">IF('Bedaya vs Mindbody'!H113="","",'Bedaya vs Mindbody'!H113)</f>
        <v>Not counted</v>
      </c>
      <c r="B67" s="2" t="str">
        <f aca="false">IF('Bedaya vs Mindbody'!A113="","",'Bedaya vs Mindbody'!A113)</f>
        <v>Bottle Water</v>
      </c>
      <c r="C67" s="2" t="str">
        <f aca="false">IF('Bedaya vs Mindbody'!B113="","",'Bedaya vs Mindbody'!B113)</f>
        <v>Orange</v>
      </c>
      <c r="D67" s="2" t="str">
        <f aca="false">IF('Bedaya vs Mindbody'!C113="","",'Bedaya vs Mindbody'!C113)</f>
        <v/>
      </c>
      <c r="E67" s="4" t="str">
        <f aca="false">IF('Bedaya vs Mindbody'!D113="","",'Bedaya vs Mindbody'!D113)</f>
        <v/>
      </c>
      <c r="F67" s="4" t="str">
        <f aca="false">IF('Bedaya vs Mindbody'!E113="","",'Bedaya vs Mindbody'!E113)</f>
        <v/>
      </c>
      <c r="G67" s="4" t="n">
        <f aca="false">IF('Bedaya vs Mindbody'!F113="","",'Bedaya vs Mindbody'!F113)</f>
        <v>27</v>
      </c>
      <c r="H67" s="4" t="str">
        <f aca="false">IF('Bedaya vs Mindbody'!G113="","",'Bedaya vs Mindbody'!G113)</f>
        <v/>
      </c>
      <c r="I67" s="10" t="str">
        <f aca="false">IF('Bedaya vs Mindbody'!I113="","",'Bedaya vs Mindbody'!I113)</f>
        <v>In Mindbody, not counted in store</v>
      </c>
    </row>
    <row r="68" customFormat="false" ht="15" hidden="false" customHeight="false" outlineLevel="0" collapsed="false">
      <c r="A68" s="2" t="str">
        <f aca="false">IF('Bedaya vs Mindbody'!H114="","",'Bedaya vs Mindbody'!H114)</f>
        <v>Not counted</v>
      </c>
      <c r="B68" s="2" t="str">
        <f aca="false">IF('Bedaya vs Mindbody'!A114="","",'Bedaya vs Mindbody'!A114)</f>
        <v>Bottle Water</v>
      </c>
      <c r="C68" s="2" t="str">
        <f aca="false">IF('Bedaya vs Mindbody'!B114="","",'Bedaya vs Mindbody'!B114)</f>
        <v>White</v>
      </c>
      <c r="D68" s="2" t="str">
        <f aca="false">IF('Bedaya vs Mindbody'!C114="","",'Bedaya vs Mindbody'!C114)</f>
        <v/>
      </c>
      <c r="E68" s="4" t="str">
        <f aca="false">IF('Bedaya vs Mindbody'!D114="","",'Bedaya vs Mindbody'!D114)</f>
        <v/>
      </c>
      <c r="F68" s="4" t="str">
        <f aca="false">IF('Bedaya vs Mindbody'!E114="","",'Bedaya vs Mindbody'!E114)</f>
        <v/>
      </c>
      <c r="G68" s="4" t="n">
        <f aca="false">IF('Bedaya vs Mindbody'!F114="","",'Bedaya vs Mindbody'!F114)</f>
        <v>15</v>
      </c>
      <c r="H68" s="4" t="str">
        <f aca="false">IF('Bedaya vs Mindbody'!G114="","",'Bedaya vs Mindbody'!G114)</f>
        <v/>
      </c>
      <c r="I68" s="10" t="str">
        <f aca="false">IF('Bedaya vs Mindbody'!I114="","",'Bedaya vs Mindbody'!I114)</f>
        <v>In Mindbody, not counted in store</v>
      </c>
    </row>
    <row r="69" customFormat="false" ht="15" hidden="false" customHeight="false" outlineLevel="0" collapsed="false">
      <c r="A69" s="2" t="str">
        <f aca="false">IF('Bedaya vs Mindbody'!H125="","",'Bedaya vs Mindbody'!H125)</f>
        <v>Not counted</v>
      </c>
      <c r="B69" s="2" t="str">
        <f aca="false">IF('Bedaya vs Mindbody'!A125="","",'Bedaya vs Mindbody'!A125)</f>
        <v>(no Mindbody product)</v>
      </c>
      <c r="C69" s="2" t="str">
        <f aca="false">IF('Bedaya vs Mindbody'!B125="","",'Bedaya vs Mindbody'!B125)</f>
        <v>Judo Uniform - 150cm (upper only)</v>
      </c>
      <c r="D69" s="2" t="str">
        <f aca="false">IF('Bedaya vs Mindbody'!C125="","",'Bedaya vs Mindbody'!C125)</f>
        <v>Judo Uniform (With Logo)</v>
      </c>
      <c r="E69" s="4" t="str">
        <f aca="false">IF('Bedaya vs Mindbody'!D125="","",'Bedaya vs Mindbody'!D125)</f>
        <v>150cm (upper only)</v>
      </c>
      <c r="F69" s="4" t="str">
        <f aca="false">IF('Bedaya vs Mindbody'!E125="","",'Bedaya vs Mindbody'!E125)</f>
        <v/>
      </c>
      <c r="G69" s="4" t="str">
        <f aca="false">IF('Bedaya vs Mindbody'!F125="","",'Bedaya vs Mindbody'!F125)</f>
        <v/>
      </c>
      <c r="H69" s="4" t="str">
        <f aca="false">IF('Bedaya vs Mindbody'!G125="","",'Bedaya vs Mindbody'!G125)</f>
        <v/>
      </c>
      <c r="I69" s="10" t="str">
        <f aca="false">IF('Bedaya vs Mindbody'!I125="","",'Bedaya vs Mindbody'!I125)</f>
        <v>Old / no-logo / no-program stock - not listed in Mindbody | quantity not written</v>
      </c>
    </row>
  </sheetData>
  <autoFilter ref="A7:I69"/>
  <conditionalFormatting sqref="A8:A69">
    <cfRule type="expression" priority="2" aboveAverage="0" equalAverage="0" bottom="0" percent="0" rank="0" text="" dxfId="4">
      <formula>OR($A8="Physical higher",$A8="Mindbody higher")</formula>
    </cfRule>
    <cfRule type="expression" priority="3" aboveAverage="0" equalAverage="0" bottom="0" percent="0" rank="0" text="" dxfId="7">
      <formula>OR($A8="Not in Mindbody",$A8="Not counted")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38"/>
    <col collapsed="false" customWidth="true" hidden="false" outlineLevel="0" max="4" min="4" style="0" width="20"/>
    <col collapsed="false" customWidth="true" hidden="false" outlineLevel="0" max="6" min="5" style="0" width="11"/>
    <col collapsed="false" customWidth="true" hidden="false" outlineLevel="0" max="7" min="7" style="0" width="16"/>
    <col collapsed="false" customWidth="true" hidden="false" outlineLevel="0" max="8" min="8" style="0" width="17"/>
    <col collapsed="false" customWidth="true" hidden="false" outlineLevel="0" max="9" min="9" style="0" width="70"/>
  </cols>
  <sheetData>
    <row r="1" customFormat="false" ht="15" hidden="false" customHeight="false" outlineLevel="0" collapsed="false">
      <c r="A1" s="16" t="s">
        <v>278</v>
      </c>
    </row>
    <row r="2" customFormat="false" ht="15" hidden="false" customHeight="false" outlineLevel="0" collapsed="false">
      <c r="A2" s="6" t="s">
        <v>279</v>
      </c>
    </row>
    <row r="4" customFormat="false" ht="15" hidden="false" customHeight="false" outlineLevel="0" collapsed="false">
      <c r="A4" s="17" t="s">
        <v>145</v>
      </c>
    </row>
    <row r="5" customFormat="false" ht="15" hidden="false" customHeight="false" outlineLevel="0" collapsed="false">
      <c r="A5" s="17" t="s">
        <v>146</v>
      </c>
      <c r="C5" s="17" t="s">
        <v>147</v>
      </c>
      <c r="E5" s="17" t="s">
        <v>148</v>
      </c>
      <c r="G5" s="17" t="s">
        <v>149</v>
      </c>
      <c r="I5" s="17" t="s">
        <v>150</v>
      </c>
    </row>
    <row r="6" customFormat="false" ht="15" hidden="false" customHeight="false" outlineLevel="0" collapsed="false">
      <c r="A6" s="22" t="n">
        <f aca="false">COUNTIF($H$10:$H$99,"Match")</f>
        <v>11</v>
      </c>
      <c r="C6" s="22" t="n">
        <f aca="false">COUNTIF($H$10:$H$99,"Physical higher")</f>
        <v>3</v>
      </c>
      <c r="E6" s="22" t="n">
        <f aca="false">COUNTIF($H$10:$H$99,"Mindbody higher")</f>
        <v>0</v>
      </c>
      <c r="G6" s="22" t="n">
        <f aca="false">COUNTIF($H$10:$H$99,"Not in Mindbody")</f>
        <v>70</v>
      </c>
      <c r="I6" s="22" t="n">
        <f aca="false">COUNTIF($H$10:$H$99,"Not counted")</f>
        <v>6</v>
      </c>
    </row>
    <row r="9" customFormat="false" ht="42" hidden="false" customHeight="true" outlineLevel="0" collapsed="false">
      <c r="A9" s="1" t="s">
        <v>151</v>
      </c>
      <c r="B9" s="1" t="s">
        <v>152</v>
      </c>
      <c r="C9" s="1" t="s">
        <v>153</v>
      </c>
      <c r="D9" s="1" t="s">
        <v>154</v>
      </c>
      <c r="E9" s="1" t="s">
        <v>155</v>
      </c>
      <c r="F9" s="1" t="s">
        <v>156</v>
      </c>
      <c r="G9" s="1" t="s">
        <v>157</v>
      </c>
      <c r="H9" s="1" t="s">
        <v>158</v>
      </c>
      <c r="I9" s="1" t="s">
        <v>159</v>
      </c>
    </row>
    <row r="10" customFormat="false" ht="15" hidden="false" customHeight="false" outlineLevel="0" collapsed="false">
      <c r="A10" s="2" t="s">
        <v>18</v>
      </c>
      <c r="B10" s="2" t="s">
        <v>163</v>
      </c>
      <c r="C10" s="2" t="s">
        <v>18</v>
      </c>
      <c r="D10" s="3" t="s">
        <v>22</v>
      </c>
      <c r="E10" s="4" t="n">
        <f aca="false">SUMPRODUCT((Promenade!$A$2:$A$200="Promenade")*(Promenade!$B$2:$B$200="Boxing Gloves")*(Promenade!$D$2:$D$200="6oz"),Promenade!$E$2:$E$200)</f>
        <v>2</v>
      </c>
      <c r="F10" s="20" t="n">
        <v>2</v>
      </c>
      <c r="G10" s="4" t="n">
        <f aca="false">IF(OR(E10="",F10=""),"",E10-F10)</f>
        <v>0</v>
      </c>
      <c r="H10" s="7" t="str">
        <f aca="false">IF(E10="","Not counted",IF(F10="","Not in Mindbody",IF(E10=F10,"Match",IF(E10&gt;F10,"Physical higher","Mindbody higher"))))</f>
        <v>Match</v>
      </c>
      <c r="I10" s="10"/>
    </row>
    <row r="11" customFormat="false" ht="15" hidden="false" customHeight="false" outlineLevel="0" collapsed="false">
      <c r="A11" s="2" t="s">
        <v>18</v>
      </c>
      <c r="B11" s="2" t="s">
        <v>164</v>
      </c>
      <c r="C11" s="2" t="s">
        <v>18</v>
      </c>
      <c r="D11" s="3" t="s">
        <v>21</v>
      </c>
      <c r="E11" s="4" t="n">
        <f aca="false">SUMPRODUCT((Promenade!$A$2:$A$200="Promenade")*(Promenade!$B$2:$B$200="Boxing Gloves")*(Promenade!$D$2:$D$200="8oz"),Promenade!$E$2:$E$200)</f>
        <v>2</v>
      </c>
      <c r="F11" s="20" t="n">
        <v>2</v>
      </c>
      <c r="G11" s="4" t="n">
        <f aca="false">IF(OR(E11="",F11=""),"",E11-F11)</f>
        <v>0</v>
      </c>
      <c r="H11" s="7" t="str">
        <f aca="false">IF(E11="","Not counted",IF(F11="","Not in Mindbody",IF(E11=F11,"Match",IF(E11&gt;F11,"Physical higher","Mindbody higher"))))</f>
        <v>Match</v>
      </c>
      <c r="I11" s="10"/>
    </row>
    <row r="12" customFormat="false" ht="15" hidden="false" customHeight="false" outlineLevel="0" collapsed="false">
      <c r="A12" s="2" t="s">
        <v>18</v>
      </c>
      <c r="B12" s="2" t="s">
        <v>165</v>
      </c>
      <c r="C12" s="2" t="s">
        <v>18</v>
      </c>
      <c r="D12" s="3" t="s">
        <v>20</v>
      </c>
      <c r="E12" s="4" t="n">
        <f aca="false">SUMPRODUCT((Promenade!$A$2:$A$200="Promenade")*(Promenade!$B$2:$B$200="Boxing Gloves")*(Promenade!$D$2:$D$200="10oz"),Promenade!$E$2:$E$200)</f>
        <v>2</v>
      </c>
      <c r="F12" s="20" t="n">
        <v>2</v>
      </c>
      <c r="G12" s="4" t="n">
        <f aca="false">IF(OR(E12="",F12=""),"",E12-F12)</f>
        <v>0</v>
      </c>
      <c r="H12" s="7" t="str">
        <f aca="false">IF(E12="","Not counted",IF(F12="","Not in Mindbody",IF(E12=F12,"Match",IF(E12&gt;F12,"Physical higher","Mindbody higher"))))</f>
        <v>Match</v>
      </c>
      <c r="I12" s="10"/>
    </row>
    <row r="13" customFormat="false" ht="15" hidden="false" customHeight="false" outlineLevel="0" collapsed="false">
      <c r="A13" s="2" t="s">
        <v>18</v>
      </c>
      <c r="B13" s="2" t="s">
        <v>166</v>
      </c>
      <c r="C13" s="2" t="s">
        <v>18</v>
      </c>
      <c r="D13" s="3" t="s">
        <v>19</v>
      </c>
      <c r="E13" s="4" t="n">
        <f aca="false">SUMPRODUCT((Promenade!$A$2:$A$200="Promenade")*(Promenade!$B$2:$B$200="Boxing Gloves")*(Promenade!$D$2:$D$200="12oz"),Promenade!$E$2:$E$200)</f>
        <v>1</v>
      </c>
      <c r="F13" s="20" t="n">
        <v>1</v>
      </c>
      <c r="G13" s="4" t="n">
        <f aca="false">IF(OR(E13="",F13=""),"",E13-F13)</f>
        <v>0</v>
      </c>
      <c r="H13" s="7" t="str">
        <f aca="false">IF(E13="","Not counted",IF(F13="","Not in Mindbody",IF(E13=F13,"Match",IF(E13&gt;F13,"Physical higher","Mindbody higher"))))</f>
        <v>Match</v>
      </c>
      <c r="I13" s="10"/>
    </row>
    <row r="14" customFormat="false" ht="15" hidden="false" customHeight="false" outlineLevel="0" collapsed="false">
      <c r="A14" s="2" t="s">
        <v>176</v>
      </c>
      <c r="B14" s="2" t="s">
        <v>179</v>
      </c>
      <c r="C14" s="2" t="s">
        <v>62</v>
      </c>
      <c r="D14" s="3" t="s">
        <v>64</v>
      </c>
      <c r="E14" s="4" t="n">
        <f aca="false">SUMPRODUCT((Promenade!$A$2:$A$200="Promenade")*(Promenade!$B$2:$B$200="White T-shirt (Elite)")*(Promenade!$D$2:$D$200="11/12"),Promenade!$E$2:$E$200)</f>
        <v>5</v>
      </c>
      <c r="F14" s="20" t="n">
        <v>5</v>
      </c>
      <c r="G14" s="4" t="n">
        <f aca="false">IF(OR(E14="",F14=""),"",E14-F14)</f>
        <v>0</v>
      </c>
      <c r="H14" s="7" t="str">
        <f aca="false">IF(E14="","Not counted",IF(F14="","Not in Mindbody",IF(E14=F14,"Match",IF(E14&gt;F14,"Physical higher","Mindbody higher"))))</f>
        <v>Match</v>
      </c>
      <c r="I14" s="10"/>
    </row>
    <row r="15" customFormat="false" ht="15" hidden="false" customHeight="false" outlineLevel="0" collapsed="false">
      <c r="A15" s="2" t="s">
        <v>176</v>
      </c>
      <c r="B15" s="2" t="s">
        <v>177</v>
      </c>
      <c r="C15" s="2" t="s">
        <v>62</v>
      </c>
      <c r="D15" s="3" t="s">
        <v>66</v>
      </c>
      <c r="E15" s="4" t="n">
        <f aca="false">SUMPRODUCT((Promenade!$A$2:$A$200="Promenade")*(Promenade!$B$2:$B$200="White T-shirt (Elite)")*(Promenade!$D$2:$D$200="3/4"),Promenade!$E$2:$E$200)</f>
        <v>8</v>
      </c>
      <c r="F15" s="20" t="n">
        <v>8</v>
      </c>
      <c r="G15" s="4" t="n">
        <f aca="false">IF(OR(E15="",F15=""),"",E15-F15)</f>
        <v>0</v>
      </c>
      <c r="H15" s="7" t="str">
        <f aca="false">IF(E15="","Not counted",IF(F15="","Not in Mindbody",IF(E15=F15,"Match",IF(E15&gt;F15,"Physical higher","Mindbody higher"))))</f>
        <v>Match</v>
      </c>
      <c r="I15" s="10"/>
    </row>
    <row r="16" customFormat="false" ht="15" hidden="false" customHeight="false" outlineLevel="0" collapsed="false">
      <c r="A16" s="2" t="s">
        <v>176</v>
      </c>
      <c r="B16" s="2" t="s">
        <v>178</v>
      </c>
      <c r="C16" s="2" t="s">
        <v>62</v>
      </c>
      <c r="D16" s="3" t="s">
        <v>65</v>
      </c>
      <c r="E16" s="4" t="n">
        <f aca="false">SUMPRODUCT((Promenade!$A$2:$A$200="Promenade")*(Promenade!$B$2:$B$200="White T-shirt (Elite)")*(Promenade!$D$2:$D$200="5/6"),Promenade!$E$2:$E$200)</f>
        <v>2</v>
      </c>
      <c r="F16" s="20" t="n">
        <v>1</v>
      </c>
      <c r="G16" s="4" t="n">
        <f aca="false">IF(OR(E16="",F16=""),"",E16-F16)</f>
        <v>1</v>
      </c>
      <c r="H16" s="7" t="str">
        <f aca="false">IF(E16="","Not counted",IF(F16="","Not in Mindbody",IF(E16=F16,"Match",IF(E16&gt;F16,"Physical higher","Mindbody higher"))))</f>
        <v>Physical higher</v>
      </c>
      <c r="I16" s="10" t="s">
        <v>280</v>
      </c>
    </row>
    <row r="17" customFormat="false" ht="15" hidden="false" customHeight="false" outlineLevel="0" collapsed="false">
      <c r="A17" s="2" t="s">
        <v>176</v>
      </c>
      <c r="B17" s="2" t="s">
        <v>281</v>
      </c>
      <c r="C17" s="2" t="s">
        <v>62</v>
      </c>
      <c r="D17" s="3" t="s">
        <v>73</v>
      </c>
      <c r="E17" s="4" t="n">
        <f aca="false">SUMPRODUCT((Promenade!$A$2:$A$200="Promenade")*(Promenade!$B$2:$B$200="White T-shirt (Elite)")*(Promenade!$D$2:$D$200="7/8"),Promenade!$E$2:$E$200)</f>
        <v>2</v>
      </c>
      <c r="F17" s="20" t="n">
        <v>2</v>
      </c>
      <c r="G17" s="4" t="n">
        <f aca="false">IF(OR(E17="",F17=""),"",E17-F17)</f>
        <v>0</v>
      </c>
      <c r="H17" s="7" t="str">
        <f aca="false">IF(E17="","Not counted",IF(F17="","Not in Mindbody",IF(E17=F17,"Match",IF(E17&gt;F17,"Physical higher","Mindbody higher"))))</f>
        <v>Match</v>
      </c>
      <c r="I17" s="10"/>
    </row>
    <row r="18" customFormat="false" ht="15" hidden="false" customHeight="false" outlineLevel="0" collapsed="false">
      <c r="A18" s="2" t="s">
        <v>176</v>
      </c>
      <c r="B18" s="2" t="s">
        <v>183</v>
      </c>
      <c r="C18" s="2" t="s">
        <v>62</v>
      </c>
      <c r="D18" s="3" t="s">
        <v>72</v>
      </c>
      <c r="E18" s="4" t="n">
        <f aca="false">SUMPRODUCT((Promenade!$A$2:$A$200="Promenade")*(Promenade!$B$2:$B$200="White T-shirt (Elite)")*(Promenade!$D$2:$D$200="9/10"),Promenade!$E$2:$E$200)</f>
        <v>6</v>
      </c>
      <c r="F18" s="20" t="n">
        <v>5</v>
      </c>
      <c r="G18" s="4" t="n">
        <f aca="false">IF(OR(E18="",F18=""),"",E18-F18)</f>
        <v>1</v>
      </c>
      <c r="H18" s="7" t="str">
        <f aca="false">IF(E18="","Not counted",IF(F18="","Not in Mindbody",IF(E18=F18,"Match",IF(E18&gt;F18,"Physical higher","Mindbody higher"))))</f>
        <v>Physical higher</v>
      </c>
      <c r="I18" s="10"/>
    </row>
    <row r="19" customFormat="false" ht="15" hidden="false" customHeight="false" outlineLevel="0" collapsed="false">
      <c r="A19" s="2" t="s">
        <v>15</v>
      </c>
      <c r="B19" s="2" t="s">
        <v>239</v>
      </c>
      <c r="C19" s="2" t="s">
        <v>15</v>
      </c>
      <c r="D19" s="3" t="s">
        <v>16</v>
      </c>
      <c r="E19" s="4" t="n">
        <f aca="false">SUMPRODUCT((Promenade!$A$2:$A$200="Promenade")*(Promenade!$B$2:$B$200="Shin Guard")*(Promenade!$D$2:$D$200="XL"),Promenade!$E$2:$E$200)</f>
        <v>2</v>
      </c>
      <c r="F19" s="20" t="n">
        <v>2</v>
      </c>
      <c r="G19" s="4" t="n">
        <f aca="false">IF(OR(E19="",F19=""),"",E19-F19)</f>
        <v>0</v>
      </c>
      <c r="H19" s="7" t="str">
        <f aca="false">IF(E19="","Not counted",IF(F19="","Not in Mindbody",IF(E19=F19,"Match",IF(E19&gt;F19,"Physical higher","Mindbody higher"))))</f>
        <v>Match</v>
      </c>
      <c r="I19" s="10"/>
    </row>
    <row r="20" customFormat="false" ht="15" hidden="false" customHeight="false" outlineLevel="0" collapsed="false">
      <c r="A20" s="2" t="s">
        <v>15</v>
      </c>
      <c r="B20" s="2" t="s">
        <v>218</v>
      </c>
      <c r="C20" s="2" t="s">
        <v>15</v>
      </c>
      <c r="D20" s="3" t="s">
        <v>9</v>
      </c>
      <c r="E20" s="4" t="n">
        <f aca="false">SUMPRODUCT((Promenade!$A$2:$A$200="Promenade")*(Promenade!$B$2:$B$200="Shin Guard")*(Promenade!$D$2:$D$200="XS"),Promenade!$E$2:$E$200)</f>
        <v>2</v>
      </c>
      <c r="F20" s="20" t="n">
        <v>2</v>
      </c>
      <c r="G20" s="4" t="n">
        <f aca="false">IF(OR(E20="",F20=""),"",E20-F20)</f>
        <v>0</v>
      </c>
      <c r="H20" s="7" t="str">
        <f aca="false">IF(E20="","Not counted",IF(F20="","Not in Mindbody",IF(E20=F20,"Match",IF(E20&gt;F20,"Physical higher","Mindbody higher"))))</f>
        <v>Match</v>
      </c>
      <c r="I20" s="10"/>
    </row>
    <row r="21" customFormat="false" ht="15" hidden="false" customHeight="false" outlineLevel="0" collapsed="false">
      <c r="A21" s="2" t="s">
        <v>15</v>
      </c>
      <c r="B21" s="2" t="s">
        <v>174</v>
      </c>
      <c r="C21" s="2" t="s">
        <v>15</v>
      </c>
      <c r="D21" s="3" t="s">
        <v>17</v>
      </c>
      <c r="E21" s="4" t="n">
        <f aca="false">SUMPRODUCT((Promenade!$A$2:$A$200="Promenade")*(Promenade!$B$2:$B$200="Shin Guard")*(Promenade!$D$2:$D$200="L"),Promenade!$E$2:$E$200)</f>
        <v>4</v>
      </c>
      <c r="F21" s="20" t="n">
        <v>2</v>
      </c>
      <c r="G21" s="4" t="n">
        <f aca="false">IF(OR(E21="",F21=""),"",E21-F21)</f>
        <v>2</v>
      </c>
      <c r="H21" s="7" t="str">
        <f aca="false">IF(E21="","Not counted",IF(F21="","Not in Mindbody",IF(E21=F21,"Match",IF(E21&gt;F21,"Physical higher","Mindbody higher"))))</f>
        <v>Physical higher</v>
      </c>
      <c r="I21" s="10" t="s">
        <v>282</v>
      </c>
    </row>
    <row r="22" customFormat="false" ht="15" hidden="false" customHeight="false" outlineLevel="0" collapsed="false">
      <c r="A22" s="2" t="s">
        <v>15</v>
      </c>
      <c r="B22" s="2" t="s">
        <v>181</v>
      </c>
      <c r="C22" s="2" t="s">
        <v>15</v>
      </c>
      <c r="D22" s="3" t="s">
        <v>13</v>
      </c>
      <c r="E22" s="4" t="n">
        <f aca="false">SUMPRODUCT((Promenade!$A$2:$A$200="Promenade")*(Promenade!$B$2:$B$200="Shin Guard")*(Promenade!$D$2:$D$200="M"),Promenade!$E$2:$E$200)</f>
        <v>2</v>
      </c>
      <c r="F22" s="20" t="n">
        <v>2</v>
      </c>
      <c r="G22" s="4" t="n">
        <f aca="false">IF(OR(E22="",F22=""),"",E22-F22)</f>
        <v>0</v>
      </c>
      <c r="H22" s="7" t="str">
        <f aca="false">IF(E22="","Not counted",IF(F22="","Not in Mindbody",IF(E22=F22,"Match",IF(E22&gt;F22,"Physical higher","Mindbody higher"))))</f>
        <v>Match</v>
      </c>
      <c r="I22" s="10" t="s">
        <v>283</v>
      </c>
    </row>
    <row r="23" customFormat="false" ht="15" hidden="false" customHeight="false" outlineLevel="0" collapsed="false">
      <c r="A23" s="2" t="s">
        <v>15</v>
      </c>
      <c r="B23" s="2" t="s">
        <v>8</v>
      </c>
      <c r="C23" s="2" t="s">
        <v>15</v>
      </c>
      <c r="D23" s="3" t="s">
        <v>14</v>
      </c>
      <c r="E23" s="4" t="n">
        <f aca="false">SUMPRODUCT((Promenade!$A$2:$A$200="Promenade")*(Promenade!$B$2:$B$200="Shin Guard")*(Promenade!$D$2:$D$200="S"),Promenade!$E$2:$E$200)</f>
        <v>1</v>
      </c>
      <c r="F23" s="20" t="n">
        <v>1</v>
      </c>
      <c r="G23" s="4" t="n">
        <f aca="false">IF(OR(E23="",F23=""),"",E23-F23)</f>
        <v>0</v>
      </c>
      <c r="H23" s="7" t="str">
        <f aca="false">IF(E23="","Not counted",IF(F23="","Not in Mindbody",IF(E23=F23,"Match",IF(E23&gt;F23,"Physical higher","Mindbody higher"))))</f>
        <v>Match</v>
      </c>
      <c r="I23" s="10"/>
    </row>
    <row r="24" customFormat="false" ht="15" hidden="false" customHeight="false" outlineLevel="0" collapsed="false">
      <c r="A24" s="2" t="s">
        <v>251</v>
      </c>
      <c r="B24" s="2"/>
      <c r="C24" s="2" t="s">
        <v>91</v>
      </c>
      <c r="D24" s="3" t="s">
        <v>27</v>
      </c>
      <c r="E24" s="4" t="n">
        <f aca="false">SUMPRODUCT((Promenade!$A$2:$A$200="Promenade")*(Promenade!$B$2:$B$200="Kajukimbo Patch - Shoulder")*(Promenade!$D$2:$D$200="-"),Promenade!$E$2:$E$200)</f>
        <v>6</v>
      </c>
      <c r="F24" s="20"/>
      <c r="G24" s="4" t="str">
        <f aca="false">IF(OR(E24="",F24=""),"",E24-F24)</f>
        <v/>
      </c>
      <c r="H24" s="7" t="str">
        <f aca="false">IF(E24="","Not counted",IF(F24="","Not in Mindbody",IF(E24=F24,"Match",IF(E24&gt;F24,"Physical higher","Mindbody higher"))))</f>
        <v>Not in Mindbody</v>
      </c>
      <c r="I24" s="10" t="s">
        <v>284</v>
      </c>
    </row>
    <row r="25" customFormat="false" ht="15" hidden="false" customHeight="false" outlineLevel="0" collapsed="false">
      <c r="A25" s="2" t="s">
        <v>251</v>
      </c>
      <c r="B25" s="2"/>
      <c r="C25" s="2" t="s">
        <v>89</v>
      </c>
      <c r="D25" s="3" t="s">
        <v>27</v>
      </c>
      <c r="E25" s="4" t="n">
        <f aca="false">SUMPRODUCT((Promenade!$A$2:$A$200="Promenade")*(Promenade!$B$2:$B$200="Kajukimbo Patch - Circle (Front)")*(Promenade!$D$2:$D$200="-"),Promenade!$E$2:$E$200)</f>
        <v>6</v>
      </c>
      <c r="F25" s="20"/>
      <c r="G25" s="4" t="str">
        <f aca="false">IF(OR(E25="",F25=""),"",E25-F25)</f>
        <v/>
      </c>
      <c r="H25" s="7" t="str">
        <f aca="false">IF(E25="","Not counted",IF(F25="","Not in Mindbody",IF(E25=F25,"Match",IF(E25&gt;F25,"Physical higher","Mindbody higher"))))</f>
        <v>Not in Mindbody</v>
      </c>
      <c r="I25" s="10" t="s">
        <v>284</v>
      </c>
    </row>
    <row r="26" customFormat="false" ht="15" hidden="false" customHeight="false" outlineLevel="0" collapsed="false">
      <c r="A26" s="2" t="s">
        <v>251</v>
      </c>
      <c r="B26" s="2"/>
      <c r="C26" s="2" t="s">
        <v>74</v>
      </c>
      <c r="D26" s="3" t="s">
        <v>63</v>
      </c>
      <c r="E26" s="4" t="n">
        <f aca="false">SUMPRODUCT((Promenade!$A$2:$A$200="Promenade")*(Promenade!$B$2:$B$200="White T-shirt (Elite) - From Argan (Old)")*(Promenade!$D$2:$D$200="13/14"),Promenade!$E$2:$E$200)</f>
        <v>1</v>
      </c>
      <c r="F26" s="20"/>
      <c r="G26" s="4" t="str">
        <f aca="false">IF(OR(E26="",F26=""),"",E26-F26)</f>
        <v/>
      </c>
      <c r="H26" s="7" t="str">
        <f aca="false">IF(E26="","Not counted",IF(F26="","Not in Mindbody",IF(E26=F26,"Match",IF(E26&gt;F26,"Physical higher","Mindbody higher"))))</f>
        <v>Not in Mindbody</v>
      </c>
      <c r="I26" s="10" t="s">
        <v>285</v>
      </c>
    </row>
    <row r="27" customFormat="false" ht="15" hidden="false" customHeight="false" outlineLevel="0" collapsed="false">
      <c r="A27" s="2" t="s">
        <v>251</v>
      </c>
      <c r="B27" s="2"/>
      <c r="C27" s="2" t="s">
        <v>74</v>
      </c>
      <c r="D27" s="3" t="s">
        <v>64</v>
      </c>
      <c r="E27" s="4" t="n">
        <f aca="false">SUMPRODUCT((Promenade!$A$2:$A$200="Promenade")*(Promenade!$B$2:$B$200="White T-shirt (Elite) - From Argan (Old)")*(Promenade!$D$2:$D$200="11/12"),Promenade!$E$2:$E$200)</f>
        <v>2</v>
      </c>
      <c r="F27" s="20"/>
      <c r="G27" s="4" t="str">
        <f aca="false">IF(OR(E27="",F27=""),"",E27-F27)</f>
        <v/>
      </c>
      <c r="H27" s="7" t="str">
        <f aca="false">IF(E27="","Not counted",IF(F27="","Not in Mindbody",IF(E27=F27,"Match",IF(E27&gt;F27,"Physical higher","Mindbody higher"))))</f>
        <v>Not in Mindbody</v>
      </c>
      <c r="I27" s="10" t="s">
        <v>285</v>
      </c>
    </row>
    <row r="28" customFormat="false" ht="15" hidden="false" customHeight="false" outlineLevel="0" collapsed="false">
      <c r="A28" s="2" t="s">
        <v>251</v>
      </c>
      <c r="B28" s="2"/>
      <c r="C28" s="2" t="s">
        <v>74</v>
      </c>
      <c r="D28" s="3" t="s">
        <v>65</v>
      </c>
      <c r="E28" s="4" t="n">
        <f aca="false">SUMPRODUCT((Promenade!$A$2:$A$200="Promenade")*(Promenade!$B$2:$B$200="White T-shirt (Elite) - From Argan (Old)")*(Promenade!$D$2:$D$200="5/6"),Promenade!$E$2:$E$200)</f>
        <v>1</v>
      </c>
      <c r="F28" s="20"/>
      <c r="G28" s="4" t="str">
        <f aca="false">IF(OR(E28="",F28=""),"",E28-F28)</f>
        <v/>
      </c>
      <c r="H28" s="7" t="str">
        <f aca="false">IF(E28="","Not counted",IF(F28="","Not in Mindbody",IF(E28=F28,"Match",IF(E28&gt;F28,"Physical higher","Mindbody higher"))))</f>
        <v>Not in Mindbody</v>
      </c>
      <c r="I28" s="10" t="s">
        <v>285</v>
      </c>
    </row>
    <row r="29" customFormat="false" ht="15" hidden="false" customHeight="false" outlineLevel="0" collapsed="false">
      <c r="A29" s="2" t="s">
        <v>251</v>
      </c>
      <c r="B29" s="2"/>
      <c r="C29" s="2" t="s">
        <v>74</v>
      </c>
      <c r="D29" s="3" t="s">
        <v>66</v>
      </c>
      <c r="E29" s="4" t="n">
        <f aca="false">SUMPRODUCT((Promenade!$A$2:$A$200="Promenade")*(Promenade!$B$2:$B$200="White T-shirt (Elite) - From Argan (Old)")*(Promenade!$D$2:$D$200="3/4"),Promenade!$E$2:$E$200)</f>
        <v>2</v>
      </c>
      <c r="F29" s="20"/>
      <c r="G29" s="4" t="str">
        <f aca="false">IF(OR(E29="",F29=""),"",E29-F29)</f>
        <v/>
      </c>
      <c r="H29" s="7" t="str">
        <f aca="false">IF(E29="","Not counted",IF(F29="","Not in Mindbody",IF(E29=F29,"Match",IF(E29&gt;F29,"Physical higher","Mindbody higher"))))</f>
        <v>Not in Mindbody</v>
      </c>
      <c r="I29" s="10" t="s">
        <v>285</v>
      </c>
    </row>
    <row r="30" customFormat="false" ht="15" hidden="false" customHeight="false" outlineLevel="0" collapsed="false">
      <c r="A30" s="2" t="s">
        <v>251</v>
      </c>
      <c r="B30" s="2"/>
      <c r="C30" s="2" t="s">
        <v>69</v>
      </c>
      <c r="D30" s="3" t="s">
        <v>17</v>
      </c>
      <c r="E30" s="4" t="n">
        <f aca="false">SUMPRODUCT((Promenade!$A$2:$A$200="Promenade")*(Promenade!$B$2:$B$200="Instructor T-shirt (Elite Logo)")*(Promenade!$D$2:$D$200="L"),Promenade!$E$2:$E$200)</f>
        <v>1</v>
      </c>
      <c r="F30" s="20"/>
      <c r="G30" s="4" t="str">
        <f aca="false">IF(OR(E30="",F30=""),"",E30-F30)</f>
        <v/>
      </c>
      <c r="H30" s="7" t="str">
        <f aca="false">IF(E30="","Not counted",IF(F30="","Not in Mindbody",IF(E30=F30,"Match",IF(E30&gt;F30,"Physical higher","Mindbody higher"))))</f>
        <v>Not in Mindbody</v>
      </c>
      <c r="I30" s="10" t="s">
        <v>286</v>
      </c>
    </row>
    <row r="31" customFormat="false" ht="15" hidden="false" customHeight="false" outlineLevel="0" collapsed="false">
      <c r="A31" s="2" t="s">
        <v>251</v>
      </c>
      <c r="B31" s="2"/>
      <c r="C31" s="2" t="s">
        <v>75</v>
      </c>
      <c r="D31" s="3" t="s">
        <v>17</v>
      </c>
      <c r="E31" s="4" t="n">
        <f aca="false">SUMPRODUCT((Promenade!$A$2:$A$200="Promenade")*(Promenade!$B$2:$B$200="Elite T-shirt (Gray)")*(Promenade!$D$2:$D$200="L"),Promenade!$E$2:$E$200)</f>
        <v>2</v>
      </c>
      <c r="F31" s="20"/>
      <c r="G31" s="4" t="str">
        <f aca="false">IF(OR(E31="",F31=""),"",E31-F31)</f>
        <v/>
      </c>
      <c r="H31" s="7" t="str">
        <f aca="false">IF(E31="","Not counted",IF(F31="","Not in Mindbody",IF(E31=F31,"Match",IF(E31&gt;F31,"Physical higher","Mindbody higher"))))</f>
        <v>Not in Mindbody</v>
      </c>
      <c r="I31" s="10" t="s">
        <v>285</v>
      </c>
    </row>
    <row r="32" customFormat="false" ht="15" hidden="false" customHeight="false" outlineLevel="0" collapsed="false">
      <c r="A32" s="2" t="s">
        <v>251</v>
      </c>
      <c r="B32" s="2"/>
      <c r="C32" s="2" t="s">
        <v>75</v>
      </c>
      <c r="D32" s="3" t="s">
        <v>13</v>
      </c>
      <c r="E32" s="4" t="n">
        <f aca="false">SUMPRODUCT((Promenade!$A$2:$A$200="Promenade")*(Promenade!$B$2:$B$200="Elite T-shirt (Gray)")*(Promenade!$D$2:$D$200="M"),Promenade!$E$2:$E$200)</f>
        <v>2</v>
      </c>
      <c r="F32" s="20"/>
      <c r="G32" s="4" t="str">
        <f aca="false">IF(OR(E32="",F32=""),"",E32-F32)</f>
        <v/>
      </c>
      <c r="H32" s="7" t="str">
        <f aca="false">IF(E32="","Not counted",IF(F32="","Not in Mindbody",IF(E32=F32,"Match",IF(E32&gt;F32,"Physical higher","Mindbody higher"))))</f>
        <v>Not in Mindbody</v>
      </c>
      <c r="I32" s="10" t="s">
        <v>285</v>
      </c>
    </row>
    <row r="33" customFormat="false" ht="15" hidden="false" customHeight="false" outlineLevel="0" collapsed="false">
      <c r="A33" s="2" t="s">
        <v>251</v>
      </c>
      <c r="B33" s="2"/>
      <c r="C33" s="2" t="s">
        <v>68</v>
      </c>
      <c r="D33" s="3" t="s">
        <v>13</v>
      </c>
      <c r="E33" s="4" t="n">
        <f aca="false">SUMPRODUCT((Promenade!$A$2:$A$200="Promenade")*(Promenade!$B$2:$B$200="Students' Elite T-shirt (White)")*(Promenade!$D$2:$D$200="M"),Promenade!$E$2:$E$200)</f>
        <v>1</v>
      </c>
      <c r="F33" s="20"/>
      <c r="G33" s="4" t="str">
        <f aca="false">IF(OR(E33="",F33=""),"",E33-F33)</f>
        <v/>
      </c>
      <c r="H33" s="7" t="str">
        <f aca="false">IF(E33="","Not counted",IF(F33="","Not in Mindbody",IF(E33=F33,"Match",IF(E33&gt;F33,"Physical higher","Mindbody higher"))))</f>
        <v>Not in Mindbody</v>
      </c>
      <c r="I33" s="10" t="s">
        <v>287</v>
      </c>
    </row>
    <row r="34" customFormat="false" ht="15" hidden="false" customHeight="false" outlineLevel="0" collapsed="false">
      <c r="A34" s="2" t="s">
        <v>251</v>
      </c>
      <c r="B34" s="2"/>
      <c r="C34" s="2" t="s">
        <v>76</v>
      </c>
      <c r="D34" s="3" t="s">
        <v>27</v>
      </c>
      <c r="E34" s="4" t="n">
        <f aca="false">SUMPRODUCT((Promenade!$A$2:$A$200="Promenade")*(Promenade!$B$2:$B$200="Short Pants (Black)")*(Promenade!$D$2:$D$200="-"),Promenade!$E$2:$E$200)</f>
        <v>1</v>
      </c>
      <c r="F34" s="20"/>
      <c r="G34" s="4" t="str">
        <f aca="false">IF(OR(E34="",F34=""),"",E34-F34)</f>
        <v/>
      </c>
      <c r="H34" s="7" t="str">
        <f aca="false">IF(E34="","Not counted",IF(F34="","Not in Mindbody",IF(E34=F34,"Match",IF(E34&gt;F34,"Physical higher","Mindbody higher"))))</f>
        <v>Not in Mindbody</v>
      </c>
      <c r="I34" s="10" t="s">
        <v>285</v>
      </c>
    </row>
    <row r="35" customFormat="false" ht="15" hidden="false" customHeight="false" outlineLevel="0" collapsed="false">
      <c r="A35" s="2" t="s">
        <v>251</v>
      </c>
      <c r="B35" s="2"/>
      <c r="C35" s="2" t="s">
        <v>26</v>
      </c>
      <c r="D35" s="3" t="s">
        <v>27</v>
      </c>
      <c r="E35" s="4" t="n">
        <f aca="false">SUMPRODUCT((Promenade!$A$2:$A$200="Promenade")*(Promenade!$B$2:$B$200="Headguard (Elite Logo)")*(Promenade!$D$2:$D$200="-"),Promenade!$E$2:$E$200)</f>
        <v>1</v>
      </c>
      <c r="F35" s="20"/>
      <c r="G35" s="4" t="str">
        <f aca="false">IF(OR(E35="",F35=""),"",E35-F35)</f>
        <v/>
      </c>
      <c r="H35" s="7" t="str">
        <f aca="false">IF(E35="","Not counted",IF(F35="","Not in Mindbody",IF(E35=F35,"Match",IF(E35&gt;F35,"Physical higher","Mindbody higher"))))</f>
        <v>Not in Mindbody</v>
      </c>
      <c r="I35" s="10" t="s">
        <v>285</v>
      </c>
    </row>
    <row r="36" customFormat="false" ht="15" hidden="false" customHeight="false" outlineLevel="0" collapsed="false">
      <c r="A36" s="2" t="s">
        <v>251</v>
      </c>
      <c r="B36" s="2"/>
      <c r="C36" s="2" t="s">
        <v>28</v>
      </c>
      <c r="D36" s="3" t="s">
        <v>20</v>
      </c>
      <c r="E36" s="4" t="n">
        <f aca="false">SUMPRODUCT((Promenade!$A$2:$A$200="Promenade")*(Promenade!$B$2:$B$200="Boxing Gloves (Elite Logo)")*(Promenade!$D$2:$D$200="10oz"),Promenade!$E$2:$E$200)</f>
        <v>3</v>
      </c>
      <c r="F36" s="20"/>
      <c r="G36" s="4" t="str">
        <f aca="false">IF(OR(E36="",F36=""),"",E36-F36)</f>
        <v/>
      </c>
      <c r="H36" s="7" t="str">
        <f aca="false">IF(E36="","Not counted",IF(F36="","Not in Mindbody",IF(E36=F36,"Match",IF(E36&gt;F36,"Physical higher","Mindbody higher"))))</f>
        <v>Not in Mindbody</v>
      </c>
      <c r="I36" s="10" t="s">
        <v>285</v>
      </c>
    </row>
    <row r="37" customFormat="false" ht="15" hidden="false" customHeight="false" outlineLevel="0" collapsed="false">
      <c r="A37" s="2" t="s">
        <v>251</v>
      </c>
      <c r="B37" s="2"/>
      <c r="C37" s="2" t="s">
        <v>28</v>
      </c>
      <c r="D37" s="3" t="s">
        <v>21</v>
      </c>
      <c r="E37" s="4" t="n">
        <f aca="false">SUMPRODUCT((Promenade!$A$2:$A$200="Promenade")*(Promenade!$B$2:$B$200="Boxing Gloves (Elite Logo)")*(Promenade!$D$2:$D$200="8oz"),Promenade!$E$2:$E$200)</f>
        <v>1</v>
      </c>
      <c r="F37" s="20"/>
      <c r="G37" s="4" t="str">
        <f aca="false">IF(OR(E37="",F37=""),"",E37-F37)</f>
        <v/>
      </c>
      <c r="H37" s="7" t="str">
        <f aca="false">IF(E37="","Not counted",IF(F37="","Not in Mindbody",IF(E37=F37,"Match",IF(E37&gt;F37,"Physical higher","Mindbody higher"))))</f>
        <v>Not in Mindbody</v>
      </c>
      <c r="I37" s="10" t="s">
        <v>285</v>
      </c>
    </row>
    <row r="38" customFormat="false" ht="15" hidden="false" customHeight="false" outlineLevel="0" collapsed="false">
      <c r="A38" s="2" t="s">
        <v>251</v>
      </c>
      <c r="B38" s="2"/>
      <c r="C38" s="2" t="s">
        <v>29</v>
      </c>
      <c r="D38" s="3" t="s">
        <v>17</v>
      </c>
      <c r="E38" s="4" t="n">
        <f aca="false">SUMPRODUCT((Promenade!$A$2:$A$200="Promenade")*(Promenade!$B$2:$B$200="MMA Gloves (Elite Logo)")*(Promenade!$D$2:$D$200="L"),Promenade!$E$2:$E$200)</f>
        <v>3</v>
      </c>
      <c r="F38" s="20"/>
      <c r="G38" s="4" t="str">
        <f aca="false">IF(OR(E38="",F38=""),"",E38-F38)</f>
        <v/>
      </c>
      <c r="H38" s="7" t="str">
        <f aca="false">IF(E38="","Not counted",IF(F38="","Not in Mindbody",IF(E38=F38,"Match",IF(E38&gt;F38,"Physical higher","Mindbody higher"))))</f>
        <v>Not in Mindbody</v>
      </c>
      <c r="I38" s="10" t="s">
        <v>285</v>
      </c>
    </row>
    <row r="39" customFormat="false" ht="15" hidden="false" customHeight="false" outlineLevel="0" collapsed="false">
      <c r="A39" s="2" t="s">
        <v>251</v>
      </c>
      <c r="B39" s="2"/>
      <c r="C39" s="2" t="s">
        <v>30</v>
      </c>
      <c r="D39" s="3" t="s">
        <v>13</v>
      </c>
      <c r="E39" s="4" t="n">
        <f aca="false">SUMPRODUCT((Promenade!$A$2:$A$200="Promenade")*(Promenade!$B$2:$B$200="Gloves (Elite Logo) - Old")*(Promenade!$D$2:$D$200="M"),Promenade!$E$2:$E$200)</f>
        <v>23</v>
      </c>
      <c r="F39" s="20"/>
      <c r="G39" s="4" t="str">
        <f aca="false">IF(OR(E39="",F39=""),"",E39-F39)</f>
        <v/>
      </c>
      <c r="H39" s="7" t="str">
        <f aca="false">IF(E39="","Not counted",IF(F39="","Not in Mindbody",IF(E39=F39,"Match",IF(E39&gt;F39,"Physical higher","Mindbody higher"))))</f>
        <v>Not in Mindbody</v>
      </c>
      <c r="I39" s="10" t="s">
        <v>285</v>
      </c>
    </row>
    <row r="40" customFormat="false" ht="15" hidden="false" customHeight="false" outlineLevel="0" collapsed="false">
      <c r="A40" s="2" t="s">
        <v>251</v>
      </c>
      <c r="B40" s="2"/>
      <c r="C40" s="2" t="s">
        <v>30</v>
      </c>
      <c r="D40" s="3" t="s">
        <v>17</v>
      </c>
      <c r="E40" s="21"/>
      <c r="F40" s="20"/>
      <c r="G40" s="4" t="str">
        <f aca="false">IF(OR(E40="",F40=""),"",E40-F40)</f>
        <v/>
      </c>
      <c r="H40" s="7" t="str">
        <f aca="false">IF(E40="","Not counted",IF(F40="","Not in Mindbody",IF(E40=F40,"Match",IF(E40&gt;F40,"Physical higher","Mindbody higher"))))</f>
        <v>Not counted</v>
      </c>
      <c r="I40" s="10" t="s">
        <v>288</v>
      </c>
    </row>
    <row r="41" customFormat="false" ht="15" hidden="false" customHeight="false" outlineLevel="0" collapsed="false">
      <c r="A41" s="2" t="s">
        <v>251</v>
      </c>
      <c r="B41" s="2"/>
      <c r="C41" s="2" t="s">
        <v>30</v>
      </c>
      <c r="D41" s="3" t="s">
        <v>14</v>
      </c>
      <c r="E41" s="21"/>
      <c r="F41" s="20"/>
      <c r="G41" s="4" t="str">
        <f aca="false">IF(OR(E41="",F41=""),"",E41-F41)</f>
        <v/>
      </c>
      <c r="H41" s="7" t="str">
        <f aca="false">IF(E41="","Not counted",IF(F41="","Not in Mindbody",IF(E41=F41,"Match",IF(E41&gt;F41,"Physical higher","Mindbody higher"))))</f>
        <v>Not counted</v>
      </c>
      <c r="I41" s="10" t="s">
        <v>288</v>
      </c>
    </row>
    <row r="42" customFormat="false" ht="15" hidden="false" customHeight="false" outlineLevel="0" collapsed="false">
      <c r="A42" s="2" t="s">
        <v>251</v>
      </c>
      <c r="B42" s="2"/>
      <c r="C42" s="2" t="s">
        <v>31</v>
      </c>
      <c r="D42" s="3" t="s">
        <v>17</v>
      </c>
      <c r="E42" s="4" t="n">
        <f aca="false">SUMPRODUCT((Promenade!$A$2:$A$200="Promenade")*(Promenade!$B$2:$B$200="Shin Guard (Elite Logo) - Old")*(Promenade!$D$2:$D$200="L"),Promenade!$E$2:$E$200)</f>
        <v>3</v>
      </c>
      <c r="F42" s="20"/>
      <c r="G42" s="4" t="str">
        <f aca="false">IF(OR(E42="",F42=""),"",E42-F42)</f>
        <v/>
      </c>
      <c r="H42" s="7" t="str">
        <f aca="false">IF(E42="","Not counted",IF(F42="","Not in Mindbody",IF(E42=F42,"Match",IF(E42&gt;F42,"Physical higher","Mindbody higher"))))</f>
        <v>Not in Mindbody</v>
      </c>
      <c r="I42" s="10" t="s">
        <v>285</v>
      </c>
    </row>
    <row r="43" customFormat="false" ht="15" hidden="false" customHeight="false" outlineLevel="0" collapsed="false">
      <c r="A43" s="2" t="s">
        <v>251</v>
      </c>
      <c r="B43" s="2"/>
      <c r="C43" s="2" t="s">
        <v>49</v>
      </c>
      <c r="D43" s="3" t="s">
        <v>50</v>
      </c>
      <c r="E43" s="4" t="n">
        <f aca="false">SUMPRODUCT((Promenade!$A$2:$A$200="Promenade")*(Promenade!$B$2:$B$200="Jiu Jitsu Uniform (Elite Logo)")*(Promenade!$D$2:$D$200="A3 - Black"),Promenade!$E$2:$E$200)</f>
        <v>1</v>
      </c>
      <c r="F43" s="20"/>
      <c r="G43" s="4" t="str">
        <f aca="false">IF(OR(E43="",F43=""),"",E43-F43)</f>
        <v/>
      </c>
      <c r="H43" s="7" t="str">
        <f aca="false">IF(E43="","Not counted",IF(F43="","Not in Mindbody",IF(E43=F43,"Match",IF(E43&gt;F43,"Physical higher","Mindbody higher"))))</f>
        <v>Not in Mindbody</v>
      </c>
      <c r="I43" s="10" t="s">
        <v>289</v>
      </c>
    </row>
    <row r="44" customFormat="false" ht="15" hidden="false" customHeight="false" outlineLevel="0" collapsed="false">
      <c r="A44" s="2" t="s">
        <v>251</v>
      </c>
      <c r="B44" s="2"/>
      <c r="C44" s="2" t="s">
        <v>49</v>
      </c>
      <c r="D44" s="3" t="s">
        <v>51</v>
      </c>
      <c r="E44" s="4" t="n">
        <f aca="false">SUMPRODUCT((Promenade!$A$2:$A$200="Promenade")*(Promenade!$B$2:$B$200="Jiu Jitsu Uniform (Elite Logo)")*(Promenade!$D$2:$D$200="3/180 - Gray"),Promenade!$E$2:$E$200)</f>
        <v>1</v>
      </c>
      <c r="F44" s="20"/>
      <c r="G44" s="4" t="str">
        <f aca="false">IF(OR(E44="",F44=""),"",E44-F44)</f>
        <v/>
      </c>
      <c r="H44" s="7" t="str">
        <f aca="false">IF(E44="","Not counted",IF(F44="","Not in Mindbody",IF(E44=F44,"Match",IF(E44&gt;F44,"Physical higher","Mindbody higher"))))</f>
        <v>Not in Mindbody</v>
      </c>
      <c r="I44" s="10" t="s">
        <v>289</v>
      </c>
    </row>
    <row r="45" customFormat="false" ht="15" hidden="false" customHeight="false" outlineLevel="0" collapsed="false">
      <c r="A45" s="2" t="s">
        <v>251</v>
      </c>
      <c r="B45" s="2"/>
      <c r="C45" s="2" t="s">
        <v>49</v>
      </c>
      <c r="D45" s="3" t="s">
        <v>52</v>
      </c>
      <c r="E45" s="4" t="n">
        <f aca="false">SUMPRODUCT((Promenade!$A$2:$A$200="Promenade")*(Promenade!$B$2:$B$200="Jiu Jitsu Uniform (Elite Logo)")*(Promenade!$D$2:$D$200="A3 - Gray/Blue"),Promenade!$E$2:$E$200)</f>
        <v>1</v>
      </c>
      <c r="F45" s="20"/>
      <c r="G45" s="4" t="str">
        <f aca="false">IF(OR(E45="",F45=""),"",E45-F45)</f>
        <v/>
      </c>
      <c r="H45" s="7" t="str">
        <f aca="false">IF(E45="","Not counted",IF(F45="","Not in Mindbody",IF(E45=F45,"Match",IF(E45&gt;F45,"Physical higher","Mindbody higher"))))</f>
        <v>Not in Mindbody</v>
      </c>
      <c r="I45" s="10" t="s">
        <v>289</v>
      </c>
    </row>
    <row r="46" customFormat="false" ht="15" hidden="false" customHeight="false" outlineLevel="0" collapsed="false">
      <c r="A46" s="2" t="s">
        <v>251</v>
      </c>
      <c r="B46" s="2"/>
      <c r="C46" s="2" t="s">
        <v>77</v>
      </c>
      <c r="D46" s="3" t="s">
        <v>17</v>
      </c>
      <c r="E46" s="4" t="n">
        <f aca="false">SUMPRODUCT((Promenade!$A$2:$A$200="Promenade")*(Promenade!$B$2:$B$200="Systema T-shirt (Black)")*(Promenade!$D$2:$D$200="L"),Promenade!$E$2:$E$200)</f>
        <v>5</v>
      </c>
      <c r="F46" s="20"/>
      <c r="G46" s="4" t="str">
        <f aca="false">IF(OR(E46="",F46=""),"",E46-F46)</f>
        <v/>
      </c>
      <c r="H46" s="7" t="str">
        <f aca="false">IF(E46="","Not counted",IF(F46="","Not in Mindbody",IF(E46=F46,"Match",IF(E46&gt;F46,"Physical higher","Mindbody higher"))))</f>
        <v>Not in Mindbody</v>
      </c>
      <c r="I46" s="10" t="s">
        <v>290</v>
      </c>
    </row>
    <row r="47" customFormat="false" ht="15" hidden="false" customHeight="false" outlineLevel="0" collapsed="false">
      <c r="A47" s="2" t="s">
        <v>251</v>
      </c>
      <c r="B47" s="2"/>
      <c r="C47" s="2" t="s">
        <v>77</v>
      </c>
      <c r="D47" s="3" t="s">
        <v>13</v>
      </c>
      <c r="E47" s="4" t="n">
        <f aca="false">SUMPRODUCT((Promenade!$A$2:$A$200="Promenade")*(Promenade!$B$2:$B$200="Systema T-shirt (Black)")*(Promenade!$D$2:$D$200="M"),Promenade!$E$2:$E$200)</f>
        <v>2</v>
      </c>
      <c r="F47" s="20"/>
      <c r="G47" s="4" t="str">
        <f aca="false">IF(OR(E47="",F47=""),"",E47-F47)</f>
        <v/>
      </c>
      <c r="H47" s="7" t="str">
        <f aca="false">IF(E47="","Not counted",IF(F47="","Not in Mindbody",IF(E47=F47,"Match",IF(E47&gt;F47,"Physical higher","Mindbody higher"))))</f>
        <v>Not in Mindbody</v>
      </c>
      <c r="I47" s="10" t="s">
        <v>290</v>
      </c>
    </row>
    <row r="48" customFormat="false" ht="15" hidden="false" customHeight="false" outlineLevel="0" collapsed="false">
      <c r="A48" s="2" t="s">
        <v>251</v>
      </c>
      <c r="B48" s="2"/>
      <c r="C48" s="2" t="s">
        <v>77</v>
      </c>
      <c r="D48" s="3" t="s">
        <v>14</v>
      </c>
      <c r="E48" s="4" t="n">
        <f aca="false">SUMPRODUCT((Promenade!$A$2:$A$200="Promenade")*(Promenade!$B$2:$B$200="Systema T-shirt (Black)")*(Promenade!$D$2:$D$200="S"),Promenade!$E$2:$E$200)</f>
        <v>15</v>
      </c>
      <c r="F48" s="20"/>
      <c r="G48" s="4" t="str">
        <f aca="false">IF(OR(E48="",F48=""),"",E48-F48)</f>
        <v/>
      </c>
      <c r="H48" s="7" t="str">
        <f aca="false">IF(E48="","Not counted",IF(F48="","Not in Mindbody",IF(E48=F48,"Match",IF(E48&gt;F48,"Physical higher","Mindbody higher"))))</f>
        <v>Not in Mindbody</v>
      </c>
      <c r="I48" s="10" t="s">
        <v>290</v>
      </c>
    </row>
    <row r="49" customFormat="false" ht="15" hidden="false" customHeight="false" outlineLevel="0" collapsed="false">
      <c r="A49" s="2" t="s">
        <v>251</v>
      </c>
      <c r="B49" s="2"/>
      <c r="C49" s="2" t="s">
        <v>77</v>
      </c>
      <c r="D49" s="3" t="s">
        <v>57</v>
      </c>
      <c r="E49" s="4" t="n">
        <f aca="false">SUMPRODUCT((Promenade!$A$2:$A$200="Promenade")*(Promenade!$B$2:$B$200="Systema T-shirt (Black)")*(Promenade!$D$2:$D$200="40"),Promenade!$E$2:$E$200)</f>
        <v>6</v>
      </c>
      <c r="F49" s="20"/>
      <c r="G49" s="4" t="str">
        <f aca="false">IF(OR(E49="",F49=""),"",E49-F49)</f>
        <v/>
      </c>
      <c r="H49" s="7" t="str">
        <f aca="false">IF(E49="","Not counted",IF(F49="","Not in Mindbody",IF(E49=F49,"Match",IF(E49&gt;F49,"Physical higher","Mindbody higher"))))</f>
        <v>Not in Mindbody</v>
      </c>
      <c r="I49" s="10" t="s">
        <v>290</v>
      </c>
    </row>
    <row r="50" customFormat="false" ht="15" hidden="false" customHeight="false" outlineLevel="0" collapsed="false">
      <c r="A50" s="2" t="s">
        <v>251</v>
      </c>
      <c r="B50" s="2"/>
      <c r="C50" s="2" t="s">
        <v>77</v>
      </c>
      <c r="D50" s="3" t="s">
        <v>58</v>
      </c>
      <c r="E50" s="4" t="n">
        <f aca="false">SUMPRODUCT((Promenade!$A$2:$A$200="Promenade")*(Promenade!$B$2:$B$200="Systema T-shirt (Black)")*(Promenade!$D$2:$D$200="38"),Promenade!$E$2:$E$200)</f>
        <v>19</v>
      </c>
      <c r="F50" s="20"/>
      <c r="G50" s="4" t="str">
        <f aca="false">IF(OR(E50="",F50=""),"",E50-F50)</f>
        <v/>
      </c>
      <c r="H50" s="7" t="str">
        <f aca="false">IF(E50="","Not counted",IF(F50="","Not in Mindbody",IF(E50=F50,"Match",IF(E50&gt;F50,"Physical higher","Mindbody higher"))))</f>
        <v>Not in Mindbody</v>
      </c>
      <c r="I50" s="10" t="s">
        <v>290</v>
      </c>
    </row>
    <row r="51" customFormat="false" ht="15" hidden="false" customHeight="false" outlineLevel="0" collapsed="false">
      <c r="A51" s="2" t="s">
        <v>251</v>
      </c>
      <c r="B51" s="2"/>
      <c r="C51" s="2" t="s">
        <v>77</v>
      </c>
      <c r="D51" s="3" t="s">
        <v>59</v>
      </c>
      <c r="E51" s="4" t="n">
        <f aca="false">SUMPRODUCT((Promenade!$A$2:$A$200="Promenade")*(Promenade!$B$2:$B$200="Systema T-shirt (Black)")*(Promenade!$D$2:$D$200="36"),Promenade!$E$2:$E$200)</f>
        <v>20</v>
      </c>
      <c r="F51" s="20"/>
      <c r="G51" s="4" t="str">
        <f aca="false">IF(OR(E51="",F51=""),"",E51-F51)</f>
        <v/>
      </c>
      <c r="H51" s="7" t="str">
        <f aca="false">IF(E51="","Not counted",IF(F51="","Not in Mindbody",IF(E51=F51,"Match",IF(E51&gt;F51,"Physical higher","Mindbody higher"))))</f>
        <v>Not in Mindbody</v>
      </c>
      <c r="I51" s="10" t="s">
        <v>290</v>
      </c>
    </row>
    <row r="52" customFormat="false" ht="15" hidden="false" customHeight="false" outlineLevel="0" collapsed="false">
      <c r="A52" s="2" t="s">
        <v>251</v>
      </c>
      <c r="B52" s="2"/>
      <c r="C52" s="2" t="s">
        <v>70</v>
      </c>
      <c r="D52" s="3" t="s">
        <v>78</v>
      </c>
      <c r="E52" s="4" t="n">
        <f aca="false">SUMPRODUCT((Promenade!$A$2:$A$200="Promenade")*(Promenade!$B$2:$B$200="Systema T-shirt (Gray)")*(Promenade!$D$2:$D$200="3XL"),Promenade!$E$2:$E$200)</f>
        <v>2</v>
      </c>
      <c r="F52" s="20"/>
      <c r="G52" s="4" t="str">
        <f aca="false">IF(OR(E52="",F52=""),"",E52-F52)</f>
        <v/>
      </c>
      <c r="H52" s="7" t="str">
        <f aca="false">IF(E52="","Not counted",IF(F52="","Not in Mindbody",IF(E52=F52,"Match",IF(E52&gt;F52,"Physical higher","Mindbody higher"))))</f>
        <v>Not in Mindbody</v>
      </c>
      <c r="I52" s="10" t="s">
        <v>290</v>
      </c>
    </row>
    <row r="53" customFormat="false" ht="15" hidden="false" customHeight="false" outlineLevel="0" collapsed="false">
      <c r="A53" s="2" t="s">
        <v>251</v>
      </c>
      <c r="B53" s="2"/>
      <c r="C53" s="2" t="s">
        <v>70</v>
      </c>
      <c r="D53" s="3" t="s">
        <v>32</v>
      </c>
      <c r="E53" s="4" t="n">
        <f aca="false">SUMPRODUCT((Promenade!$A$2:$A$200="Promenade")*(Promenade!$B$2:$B$200="Systema T-shirt (Gray)")*(Promenade!$D$2:$D$200="XXL"),Promenade!$E$2:$E$200)</f>
        <v>3</v>
      </c>
      <c r="F53" s="20"/>
      <c r="G53" s="4" t="str">
        <f aca="false">IF(OR(E53="",F53=""),"",E53-F53)</f>
        <v/>
      </c>
      <c r="H53" s="7" t="str">
        <f aca="false">IF(E53="","Not counted",IF(F53="","Not in Mindbody",IF(E53=F53,"Match",IF(E53&gt;F53,"Physical higher","Mindbody higher"))))</f>
        <v>Not in Mindbody</v>
      </c>
      <c r="I53" s="10" t="s">
        <v>290</v>
      </c>
    </row>
    <row r="54" customFormat="false" ht="15" hidden="false" customHeight="false" outlineLevel="0" collapsed="false">
      <c r="A54" s="2" t="s">
        <v>251</v>
      </c>
      <c r="B54" s="2"/>
      <c r="C54" s="2" t="s">
        <v>70</v>
      </c>
      <c r="D54" s="3" t="s">
        <v>16</v>
      </c>
      <c r="E54" s="4" t="n">
        <f aca="false">SUMPRODUCT((Promenade!$A$2:$A$200="Promenade")*(Promenade!$B$2:$B$200="Systema T-shirt (Gray)")*(Promenade!$D$2:$D$200="XL"),Promenade!$E$2:$E$200)</f>
        <v>8</v>
      </c>
      <c r="F54" s="20"/>
      <c r="G54" s="4" t="str">
        <f aca="false">IF(OR(E54="",F54=""),"",E54-F54)</f>
        <v/>
      </c>
      <c r="H54" s="7" t="str">
        <f aca="false">IF(E54="","Not counted",IF(F54="","Not in Mindbody",IF(E54=F54,"Match",IF(E54&gt;F54,"Physical higher","Mindbody higher"))))</f>
        <v>Not in Mindbody</v>
      </c>
      <c r="I54" s="10" t="s">
        <v>290</v>
      </c>
    </row>
    <row r="55" customFormat="false" ht="15" hidden="false" customHeight="false" outlineLevel="0" collapsed="false">
      <c r="A55" s="2" t="s">
        <v>251</v>
      </c>
      <c r="B55" s="2"/>
      <c r="C55" s="2" t="s">
        <v>70</v>
      </c>
      <c r="D55" s="3" t="s">
        <v>17</v>
      </c>
      <c r="E55" s="4" t="n">
        <f aca="false">SUMPRODUCT((Promenade!$A$2:$A$200="Promenade")*(Promenade!$B$2:$B$200="Systema T-shirt (Gray)")*(Promenade!$D$2:$D$200="L"),Promenade!$E$2:$E$200)</f>
        <v>2</v>
      </c>
      <c r="F55" s="20"/>
      <c r="G55" s="4" t="str">
        <f aca="false">IF(OR(E55="",F55=""),"",E55-F55)</f>
        <v/>
      </c>
      <c r="H55" s="7" t="str">
        <f aca="false">IF(E55="","Not counted",IF(F55="","Not in Mindbody",IF(E55=F55,"Match",IF(E55&gt;F55,"Physical higher","Mindbody higher"))))</f>
        <v>Not in Mindbody</v>
      </c>
      <c r="I55" s="10" t="s">
        <v>290</v>
      </c>
    </row>
    <row r="56" customFormat="false" ht="15" hidden="false" customHeight="false" outlineLevel="0" collapsed="false">
      <c r="A56" s="2" t="s">
        <v>251</v>
      </c>
      <c r="B56" s="2"/>
      <c r="C56" s="2" t="s">
        <v>70</v>
      </c>
      <c r="D56" s="3" t="s">
        <v>13</v>
      </c>
      <c r="E56" s="4" t="n">
        <f aca="false">SUMPRODUCT((Promenade!$A$2:$A$200="Promenade")*(Promenade!$B$2:$B$200="Systema T-shirt (Gray)")*(Promenade!$D$2:$D$200="M"),Promenade!$E$2:$E$200)</f>
        <v>2</v>
      </c>
      <c r="F56" s="20"/>
      <c r="G56" s="4" t="str">
        <f aca="false">IF(OR(E56="",F56=""),"",E56-F56)</f>
        <v/>
      </c>
      <c r="H56" s="7" t="str">
        <f aca="false">IF(E56="","Not counted",IF(F56="","Not in Mindbody",IF(E56=F56,"Match",IF(E56&gt;F56,"Physical higher","Mindbody higher"))))</f>
        <v>Not in Mindbody</v>
      </c>
      <c r="I56" s="10" t="s">
        <v>290</v>
      </c>
    </row>
    <row r="57" customFormat="false" ht="23.85" hidden="false" customHeight="false" outlineLevel="0" collapsed="false">
      <c r="A57" s="2" t="s">
        <v>251</v>
      </c>
      <c r="B57" s="2"/>
      <c r="C57" s="2" t="s">
        <v>70</v>
      </c>
      <c r="D57" s="3" t="s">
        <v>14</v>
      </c>
      <c r="E57" s="21"/>
      <c r="F57" s="20"/>
      <c r="G57" s="4" t="str">
        <f aca="false">IF(OR(E57="",F57=""),"",E57-F57)</f>
        <v/>
      </c>
      <c r="H57" s="7" t="str">
        <f aca="false">IF(E57="","Not counted",IF(F57="","Not in Mindbody",IF(E57=F57,"Match",IF(E57&gt;F57,"Physical higher","Mindbody higher"))))</f>
        <v>Not counted</v>
      </c>
      <c r="I57" s="10" t="s">
        <v>291</v>
      </c>
    </row>
    <row r="58" customFormat="false" ht="15" hidden="false" customHeight="false" outlineLevel="0" collapsed="false">
      <c r="A58" s="2" t="s">
        <v>251</v>
      </c>
      <c r="B58" s="2"/>
      <c r="C58" s="2" t="s">
        <v>79</v>
      </c>
      <c r="D58" s="3" t="s">
        <v>80</v>
      </c>
      <c r="E58" s="4" t="n">
        <f aca="false">SUMPRODUCT((Promenade!$A$2:$A$200="Promenade")*(Promenade!$B$2:$B$200="Elite T-shirt with Logo (Old)")*(Promenade!$D$2:$D$200="XL / Black"),Promenade!$E$2:$E$200)</f>
        <v>2</v>
      </c>
      <c r="F58" s="20"/>
      <c r="G58" s="4" t="str">
        <f aca="false">IF(OR(E58="",F58=""),"",E58-F58)</f>
        <v/>
      </c>
      <c r="H58" s="7" t="str">
        <f aca="false">IF(E58="","Not counted",IF(F58="","Not in Mindbody",IF(E58=F58,"Match",IF(E58&gt;F58,"Physical higher","Mindbody higher"))))</f>
        <v>Not in Mindbody</v>
      </c>
      <c r="I58" s="10" t="s">
        <v>285</v>
      </c>
    </row>
    <row r="59" customFormat="false" ht="15" hidden="false" customHeight="false" outlineLevel="0" collapsed="false">
      <c r="A59" s="2" t="s">
        <v>251</v>
      </c>
      <c r="B59" s="2"/>
      <c r="C59" s="2" t="s">
        <v>79</v>
      </c>
      <c r="D59" s="3" t="s">
        <v>81</v>
      </c>
      <c r="E59" s="4" t="n">
        <f aca="false">SUMPRODUCT((Promenade!$A$2:$A$200="Promenade")*(Promenade!$B$2:$B$200="Elite T-shirt with Logo (Old)")*(Promenade!$D$2:$D$200="M / Black"),Promenade!$E$2:$E$200)</f>
        <v>1</v>
      </c>
      <c r="F59" s="20"/>
      <c r="G59" s="4" t="str">
        <f aca="false">IF(OR(E59="",F59=""),"",E59-F59)</f>
        <v/>
      </c>
      <c r="H59" s="7" t="str">
        <f aca="false">IF(E59="","Not counted",IF(F59="","Not in Mindbody",IF(E59=F59,"Match",IF(E59&gt;F59,"Physical higher","Mindbody higher"))))</f>
        <v>Not in Mindbody</v>
      </c>
      <c r="I59" s="10" t="s">
        <v>285</v>
      </c>
    </row>
    <row r="60" customFormat="false" ht="15" hidden="false" customHeight="false" outlineLevel="0" collapsed="false">
      <c r="A60" s="2" t="s">
        <v>251</v>
      </c>
      <c r="B60" s="2"/>
      <c r="C60" s="2" t="s">
        <v>79</v>
      </c>
      <c r="D60" s="3" t="s">
        <v>82</v>
      </c>
      <c r="E60" s="4" t="n">
        <f aca="false">SUMPRODUCT((Promenade!$A$2:$A$200="Promenade")*(Promenade!$B$2:$B$200="Elite T-shirt with Logo (Old)")*(Promenade!$D$2:$D$200="S / Black"),Promenade!$E$2:$E$200)</f>
        <v>2</v>
      </c>
      <c r="F60" s="20"/>
      <c r="G60" s="4" t="str">
        <f aca="false">IF(OR(E60="",F60=""),"",E60-F60)</f>
        <v/>
      </c>
      <c r="H60" s="7" t="str">
        <f aca="false">IF(E60="","Not counted",IF(F60="","Not in Mindbody",IF(E60=F60,"Match",IF(E60&gt;F60,"Physical higher","Mindbody higher"))))</f>
        <v>Not in Mindbody</v>
      </c>
      <c r="I60" s="10" t="s">
        <v>285</v>
      </c>
    </row>
    <row r="61" customFormat="false" ht="15" hidden="false" customHeight="false" outlineLevel="0" collapsed="false">
      <c r="A61" s="2" t="s">
        <v>251</v>
      </c>
      <c r="B61" s="2"/>
      <c r="C61" s="2" t="s">
        <v>79</v>
      </c>
      <c r="D61" s="3" t="s">
        <v>83</v>
      </c>
      <c r="E61" s="4" t="n">
        <f aca="false">SUMPRODUCT((Promenade!$A$2:$A$200="Promenade")*(Promenade!$B$2:$B$200="Elite T-shirt with Logo (Old)")*(Promenade!$D$2:$D$200="XS / Black"),Promenade!$E$2:$E$200)</f>
        <v>1</v>
      </c>
      <c r="F61" s="20"/>
      <c r="G61" s="4" t="str">
        <f aca="false">IF(OR(E61="",F61=""),"",E61-F61)</f>
        <v/>
      </c>
      <c r="H61" s="7" t="str">
        <f aca="false">IF(E61="","Not counted",IF(F61="","Not in Mindbody",IF(E61=F61,"Match",IF(E61&gt;F61,"Physical higher","Mindbody higher"))))</f>
        <v>Not in Mindbody</v>
      </c>
      <c r="I61" s="10" t="s">
        <v>285</v>
      </c>
    </row>
    <row r="62" customFormat="false" ht="15" hidden="false" customHeight="false" outlineLevel="0" collapsed="false">
      <c r="A62" s="2" t="s">
        <v>251</v>
      </c>
      <c r="B62" s="2"/>
      <c r="C62" s="2" t="s">
        <v>79</v>
      </c>
      <c r="D62" s="3" t="s">
        <v>84</v>
      </c>
      <c r="E62" s="4" t="n">
        <f aca="false">SUMPRODUCT((Promenade!$A$2:$A$200="Promenade")*(Promenade!$B$2:$B$200="Elite T-shirt with Logo (Old)")*(Promenade!$D$2:$D$200="L / White"),Promenade!$E$2:$E$200)</f>
        <v>1</v>
      </c>
      <c r="F62" s="20"/>
      <c r="G62" s="4" t="str">
        <f aca="false">IF(OR(E62="",F62=""),"",E62-F62)</f>
        <v/>
      </c>
      <c r="H62" s="7" t="str">
        <f aca="false">IF(E62="","Not counted",IF(F62="","Not in Mindbody",IF(E62=F62,"Match",IF(E62&gt;F62,"Physical higher","Mindbody higher"))))</f>
        <v>Not in Mindbody</v>
      </c>
      <c r="I62" s="10" t="s">
        <v>285</v>
      </c>
    </row>
    <row r="63" customFormat="false" ht="15" hidden="false" customHeight="false" outlineLevel="0" collapsed="false">
      <c r="A63" s="2" t="s">
        <v>251</v>
      </c>
      <c r="B63" s="2"/>
      <c r="C63" s="2" t="s">
        <v>79</v>
      </c>
      <c r="D63" s="3" t="s">
        <v>85</v>
      </c>
      <c r="E63" s="4" t="n">
        <f aca="false">SUMPRODUCT((Promenade!$A$2:$A$200="Promenade")*(Promenade!$B$2:$B$200="Elite T-shirt with Logo (Old)")*(Promenade!$D$2:$D$200="XS / White"),Promenade!$E$2:$E$200)</f>
        <v>2</v>
      </c>
      <c r="F63" s="20"/>
      <c r="G63" s="4" t="str">
        <f aca="false">IF(OR(E63="",F63=""),"",E63-F63)</f>
        <v/>
      </c>
      <c r="H63" s="7" t="str">
        <f aca="false">IF(E63="","Not counted",IF(F63="","Not in Mindbody",IF(E63=F63,"Match",IF(E63&gt;F63,"Physical higher","Mindbody higher"))))</f>
        <v>Not in Mindbody</v>
      </c>
      <c r="I63" s="10" t="s">
        <v>285</v>
      </c>
    </row>
    <row r="64" customFormat="false" ht="15" hidden="false" customHeight="false" outlineLevel="0" collapsed="false">
      <c r="A64" s="2" t="s">
        <v>251</v>
      </c>
      <c r="B64" s="2"/>
      <c r="C64" s="2" t="s">
        <v>53</v>
      </c>
      <c r="D64" s="3" t="s">
        <v>45</v>
      </c>
      <c r="E64" s="4" t="n">
        <f aca="false">SUMPRODUCT((Promenade!$A$2:$A$200="Promenade")*(Promenade!$B$2:$B$200="Kajukimbo Uniform (With Logo, No Patches)")*(Promenade!$D$2:$D$200="110cm"),Promenade!$E$2:$E$200)</f>
        <v>1</v>
      </c>
      <c r="F64" s="20"/>
      <c r="G64" s="4" t="str">
        <f aca="false">IF(OR(E64="",F64=""),"",E64-F64)</f>
        <v/>
      </c>
      <c r="H64" s="7" t="str">
        <f aca="false">IF(E64="","Not counted",IF(F64="","Not in Mindbody",IF(E64=F64,"Match",IF(E64&gt;F64,"Physical higher","Mindbody higher"))))</f>
        <v>Not in Mindbody</v>
      </c>
      <c r="I64" s="10" t="s">
        <v>292</v>
      </c>
    </row>
    <row r="65" customFormat="false" ht="15" hidden="false" customHeight="false" outlineLevel="0" collapsed="false">
      <c r="A65" s="2" t="s">
        <v>251</v>
      </c>
      <c r="B65" s="2"/>
      <c r="C65" s="2" t="s">
        <v>53</v>
      </c>
      <c r="D65" s="3" t="s">
        <v>46</v>
      </c>
      <c r="E65" s="4" t="n">
        <f aca="false">SUMPRODUCT((Promenade!$A$2:$A$200="Promenade")*(Promenade!$B$2:$B$200="Kajukimbo Uniform (With Logo, No Patches)")*(Promenade!$D$2:$D$200="100cm"),Promenade!$E$2:$E$200)</f>
        <v>9</v>
      </c>
      <c r="F65" s="20"/>
      <c r="G65" s="4" t="str">
        <f aca="false">IF(OR(E65="",F65=""),"",E65-F65)</f>
        <v/>
      </c>
      <c r="H65" s="7" t="str">
        <f aca="false">IF(E65="","Not counted",IF(F65="","Not in Mindbody",IF(E65=F65,"Match",IF(E65&gt;F65,"Physical higher","Mindbody higher"))))</f>
        <v>Not in Mindbody</v>
      </c>
      <c r="I65" s="10" t="s">
        <v>292</v>
      </c>
    </row>
    <row r="66" customFormat="false" ht="15" hidden="false" customHeight="false" outlineLevel="0" collapsed="false">
      <c r="A66" s="2" t="s">
        <v>251</v>
      </c>
      <c r="B66" s="2"/>
      <c r="C66" s="2" t="s">
        <v>67</v>
      </c>
      <c r="D66" s="3" t="s">
        <v>27</v>
      </c>
      <c r="E66" s="4" t="n">
        <f aca="false">SUMPRODUCT((Promenade!$A$2:$A$200="Promenade")*(Promenade!$B$2:$B$200="Backpack with Elite Logo")*(Promenade!$D$2:$D$200="-"),Promenade!$E$2:$E$200)</f>
        <v>26</v>
      </c>
      <c r="F66" s="20"/>
      <c r="G66" s="4" t="str">
        <f aca="false">IF(OR(E66="",F66=""),"",E66-F66)</f>
        <v/>
      </c>
      <c r="H66" s="7" t="str">
        <f aca="false">IF(E66="","Not counted",IF(F66="","Not in Mindbody",IF(E66=F66,"Match",IF(E66&gt;F66,"Physical higher","Mindbody higher"))))</f>
        <v>Not in Mindbody</v>
      </c>
      <c r="I66" s="10" t="s">
        <v>293</v>
      </c>
    </row>
    <row r="67" customFormat="false" ht="15" hidden="false" customHeight="false" outlineLevel="0" collapsed="false">
      <c r="A67" s="2" t="s">
        <v>251</v>
      </c>
      <c r="B67" s="2"/>
      <c r="C67" s="2" t="s">
        <v>54</v>
      </c>
      <c r="D67" s="3" t="s">
        <v>44</v>
      </c>
      <c r="E67" s="4" t="n">
        <f aca="false">SUMPRODUCT((Promenade!$A$2:$A$200="Promenade")*(Promenade!$B$2:$B$200="Pants (Small)")*(Promenade!$D$2:$D$200="120cm"),Promenade!$E$2:$E$200)</f>
        <v>4</v>
      </c>
      <c r="F67" s="20"/>
      <c r="G67" s="4" t="str">
        <f aca="false">IF(OR(E67="",F67=""),"",E67-F67)</f>
        <v/>
      </c>
      <c r="H67" s="7" t="str">
        <f aca="false">IF(E67="","Not counted",IF(F67="","Not in Mindbody",IF(E67=F67,"Match",IF(E67&gt;F67,"Physical higher","Mindbody higher"))))</f>
        <v>Not in Mindbody</v>
      </c>
      <c r="I67" s="10" t="s">
        <v>285</v>
      </c>
    </row>
    <row r="68" customFormat="false" ht="15" hidden="false" customHeight="false" outlineLevel="0" collapsed="false">
      <c r="A68" s="2" t="s">
        <v>251</v>
      </c>
      <c r="B68" s="2"/>
      <c r="C68" s="2" t="s">
        <v>54</v>
      </c>
      <c r="D68" s="3" t="s">
        <v>45</v>
      </c>
      <c r="E68" s="4" t="n">
        <f aca="false">SUMPRODUCT((Promenade!$A$2:$A$200="Promenade")*(Promenade!$B$2:$B$200="Pants (Small)")*(Promenade!$D$2:$D$200="110cm"),Promenade!$E$2:$E$200)</f>
        <v>22</v>
      </c>
      <c r="F68" s="20"/>
      <c r="G68" s="4" t="str">
        <f aca="false">IF(OR(E68="",F68=""),"",E68-F68)</f>
        <v/>
      </c>
      <c r="H68" s="7" t="str">
        <f aca="false">IF(E68="","Not counted",IF(F68="","Not in Mindbody",IF(E68=F68,"Match",IF(E68&gt;F68,"Physical higher","Mindbody higher"))))</f>
        <v>Not in Mindbody</v>
      </c>
      <c r="I68" s="10" t="s">
        <v>285</v>
      </c>
    </row>
    <row r="69" customFormat="false" ht="15" hidden="false" customHeight="false" outlineLevel="0" collapsed="false">
      <c r="A69" s="2" t="s">
        <v>251</v>
      </c>
      <c r="B69" s="2"/>
      <c r="C69" s="2" t="s">
        <v>54</v>
      </c>
      <c r="D69" s="3" t="s">
        <v>40</v>
      </c>
      <c r="E69" s="4" t="n">
        <f aca="false">SUMPRODUCT((Promenade!$A$2:$A$200="Promenade")*(Promenade!$B$2:$B$200="Pants (Small)")*(Promenade!$D$2:$D$200="160cm"),Promenade!$E$2:$E$200)</f>
        <v>45</v>
      </c>
      <c r="F69" s="20"/>
      <c r="G69" s="4" t="str">
        <f aca="false">IF(OR(E69="",F69=""),"",E69-F69)</f>
        <v/>
      </c>
      <c r="H69" s="7" t="str">
        <f aca="false">IF(E69="","Not counted",IF(F69="","Not in Mindbody",IF(E69=F69,"Match",IF(E69&gt;F69,"Physical higher","Mindbody higher"))))</f>
        <v>Not in Mindbody</v>
      </c>
      <c r="I69" s="10" t="s">
        <v>285</v>
      </c>
    </row>
    <row r="70" customFormat="false" ht="15" hidden="false" customHeight="false" outlineLevel="0" collapsed="false">
      <c r="A70" s="2" t="s">
        <v>251</v>
      </c>
      <c r="B70" s="2"/>
      <c r="C70" s="2" t="s">
        <v>92</v>
      </c>
      <c r="D70" s="3" t="s">
        <v>45</v>
      </c>
      <c r="E70" s="4" t="n">
        <f aca="false">SUMPRODUCT((Promenade!$A$2:$A$200="Promenade")*(Promenade!$B$2:$B$200="Damaged Items (item not specified)")*(Promenade!$D$2:$D$200="110cm"),Promenade!$E$2:$E$200)</f>
        <v>1</v>
      </c>
      <c r="F70" s="20"/>
      <c r="G70" s="4" t="str">
        <f aca="false">IF(OR(E70="",F70=""),"",E70-F70)</f>
        <v/>
      </c>
      <c r="H70" s="7" t="str">
        <f aca="false">IF(E70="","Not counted",IF(F70="","Not in Mindbody",IF(E70=F70,"Match",IF(E70&gt;F70,"Physical higher","Mindbody higher"))))</f>
        <v>Not in Mindbody</v>
      </c>
      <c r="I70" s="10" t="s">
        <v>285</v>
      </c>
    </row>
    <row r="71" customFormat="false" ht="15" hidden="false" customHeight="false" outlineLevel="0" collapsed="false">
      <c r="A71" s="2" t="s">
        <v>251</v>
      </c>
      <c r="B71" s="2"/>
      <c r="C71" s="2" t="s">
        <v>92</v>
      </c>
      <c r="D71" s="3" t="s">
        <v>44</v>
      </c>
      <c r="E71" s="4" t="n">
        <f aca="false">SUMPRODUCT((Promenade!$A$2:$A$200="Promenade")*(Promenade!$B$2:$B$200="Damaged Items (item not specified)")*(Promenade!$D$2:$D$200="120cm"),Promenade!$E$2:$E$200)</f>
        <v>1</v>
      </c>
      <c r="F71" s="20"/>
      <c r="G71" s="4" t="str">
        <f aca="false">IF(OR(E71="",F71=""),"",E71-F71)</f>
        <v/>
      </c>
      <c r="H71" s="7" t="str">
        <f aca="false">IF(E71="","Not counted",IF(F71="","Not in Mindbody",IF(E71=F71,"Match",IF(E71&gt;F71,"Physical higher","Mindbody higher"))))</f>
        <v>Not in Mindbody</v>
      </c>
      <c r="I71" s="10" t="s">
        <v>285</v>
      </c>
    </row>
    <row r="72" customFormat="false" ht="15" hidden="false" customHeight="false" outlineLevel="0" collapsed="false">
      <c r="A72" s="2" t="s">
        <v>251</v>
      </c>
      <c r="B72" s="2"/>
      <c r="C72" s="2" t="s">
        <v>12</v>
      </c>
      <c r="D72" s="3" t="s">
        <v>32</v>
      </c>
      <c r="E72" s="4" t="n">
        <f aca="false">SUMPRODUCT((Promenade!$A$2:$A$200="Promenade")*(Promenade!$B$2:$B$200="Supporter")*(Promenade!$D$2:$D$200="XXL"),Promenade!$E$2:$E$200)</f>
        <v>3</v>
      </c>
      <c r="F72" s="20"/>
      <c r="G72" s="4" t="str">
        <f aca="false">IF(OR(E72="",F72=""),"",E72-F72)</f>
        <v/>
      </c>
      <c r="H72" s="7" t="str">
        <f aca="false">IF(E72="","Not counted",IF(F72="","Not in Mindbody",IF(E72=F72,"Match",IF(E72&gt;F72,"Physical higher","Mindbody higher"))))</f>
        <v>Not in Mindbody</v>
      </c>
      <c r="I72" s="10" t="s">
        <v>294</v>
      </c>
    </row>
    <row r="73" customFormat="false" ht="15" hidden="false" customHeight="false" outlineLevel="0" collapsed="false">
      <c r="A73" s="2" t="s">
        <v>251</v>
      </c>
      <c r="B73" s="2"/>
      <c r="C73" s="2" t="s">
        <v>33</v>
      </c>
      <c r="D73" s="3" t="s">
        <v>16</v>
      </c>
      <c r="E73" s="4" t="n">
        <f aca="false">SUMPRODUCT((Promenade!$A$2:$A$200="Promenade")*(Promenade!$B$2:$B$200="Karate Gloves (Blue)")*(Promenade!$D$2:$D$200="XL"),Promenade!$E$2:$E$200)</f>
        <v>1</v>
      </c>
      <c r="F73" s="20"/>
      <c r="G73" s="4" t="str">
        <f aca="false">IF(OR(E73="",F73=""),"",E73-F73)</f>
        <v/>
      </c>
      <c r="H73" s="7" t="str">
        <f aca="false">IF(E73="","Not counted",IF(F73="","Not in Mindbody",IF(E73=F73,"Match",IF(E73&gt;F73,"Physical higher","Mindbody higher"))))</f>
        <v>Not in Mindbody</v>
      </c>
      <c r="I73" s="10" t="s">
        <v>285</v>
      </c>
    </row>
    <row r="74" customFormat="false" ht="15" hidden="false" customHeight="false" outlineLevel="0" collapsed="false">
      <c r="A74" s="2" t="s">
        <v>251</v>
      </c>
      <c r="B74" s="2"/>
      <c r="C74" s="2" t="s">
        <v>33</v>
      </c>
      <c r="D74" s="3" t="s">
        <v>13</v>
      </c>
      <c r="E74" s="4" t="n">
        <f aca="false">SUMPRODUCT((Promenade!$A$2:$A$200="Promenade")*(Promenade!$B$2:$B$200="Karate Gloves (Blue)")*(Promenade!$D$2:$D$200="M"),Promenade!$E$2:$E$200)</f>
        <v>2</v>
      </c>
      <c r="F74" s="20"/>
      <c r="G74" s="4" t="str">
        <f aca="false">IF(OR(E74="",F74=""),"",E74-F74)</f>
        <v/>
      </c>
      <c r="H74" s="7" t="str">
        <f aca="false">IF(E74="","Not counted",IF(F74="","Not in Mindbody",IF(E74=F74,"Match",IF(E74&gt;F74,"Physical higher","Mindbody higher"))))</f>
        <v>Not in Mindbody</v>
      </c>
      <c r="I74" s="10" t="s">
        <v>285</v>
      </c>
    </row>
    <row r="75" customFormat="false" ht="15" hidden="false" customHeight="false" outlineLevel="0" collapsed="false">
      <c r="A75" s="2" t="s">
        <v>251</v>
      </c>
      <c r="B75" s="2"/>
      <c r="C75" s="2" t="s">
        <v>33</v>
      </c>
      <c r="D75" s="3" t="s">
        <v>14</v>
      </c>
      <c r="E75" s="4" t="n">
        <f aca="false">SUMPRODUCT((Promenade!$A$2:$A$200="Promenade")*(Promenade!$B$2:$B$200="Karate Gloves (Blue)")*(Promenade!$D$2:$D$200="S"),Promenade!$E$2:$E$200)</f>
        <v>2</v>
      </c>
      <c r="F75" s="20"/>
      <c r="G75" s="4" t="str">
        <f aca="false">IF(OR(E75="",F75=""),"",E75-F75)</f>
        <v/>
      </c>
      <c r="H75" s="7" t="str">
        <f aca="false">IF(E75="","Not counted",IF(F75="","Not in Mindbody",IF(E75=F75,"Match",IF(E75&gt;F75,"Physical higher","Mindbody higher"))))</f>
        <v>Not in Mindbody</v>
      </c>
      <c r="I75" s="10" t="s">
        <v>285</v>
      </c>
    </row>
    <row r="76" customFormat="false" ht="15" hidden="false" customHeight="false" outlineLevel="0" collapsed="false">
      <c r="A76" s="2" t="s">
        <v>251</v>
      </c>
      <c r="B76" s="2"/>
      <c r="C76" s="2" t="s">
        <v>33</v>
      </c>
      <c r="D76" s="3" t="s">
        <v>17</v>
      </c>
      <c r="E76" s="21"/>
      <c r="F76" s="20"/>
      <c r="G76" s="4" t="str">
        <f aca="false">IF(OR(E76="",F76=""),"",E76-F76)</f>
        <v/>
      </c>
      <c r="H76" s="7" t="str">
        <f aca="false">IF(E76="","Not counted",IF(F76="","Not in Mindbody",IF(E76=F76,"Match",IF(E76&gt;F76,"Physical higher","Mindbody higher"))))</f>
        <v>Not counted</v>
      </c>
      <c r="I76" s="10" t="s">
        <v>288</v>
      </c>
    </row>
    <row r="77" customFormat="false" ht="15" hidden="false" customHeight="false" outlineLevel="0" collapsed="false">
      <c r="A77" s="2" t="s">
        <v>251</v>
      </c>
      <c r="B77" s="2"/>
      <c r="C77" s="2" t="s">
        <v>86</v>
      </c>
      <c r="D77" s="3" t="s">
        <v>87</v>
      </c>
      <c r="E77" s="4" t="n">
        <f aca="false">SUMPRODUCT((Promenade!$A$2:$A$200="Promenade")*(Promenade!$B$2:$B$200="Bottle Water")*(Promenade!$D$2:$D$200="Orange"),Promenade!$E$2:$E$200)</f>
        <v>26</v>
      </c>
      <c r="F77" s="20"/>
      <c r="G77" s="4" t="str">
        <f aca="false">IF(OR(E77="",F77=""),"",E77-F77)</f>
        <v/>
      </c>
      <c r="H77" s="7" t="str">
        <f aca="false">IF(E77="","Not counted",IF(F77="","Not in Mindbody",IF(E77=F77,"Match",IF(E77&gt;F77,"Physical higher","Mindbody higher"))))</f>
        <v>Not in Mindbody</v>
      </c>
      <c r="I77" s="10" t="s">
        <v>295</v>
      </c>
    </row>
    <row r="78" customFormat="false" ht="15" hidden="false" customHeight="false" outlineLevel="0" collapsed="false">
      <c r="A78" s="2" t="s">
        <v>251</v>
      </c>
      <c r="B78" s="2"/>
      <c r="C78" s="2" t="s">
        <v>86</v>
      </c>
      <c r="D78" s="3" t="s">
        <v>88</v>
      </c>
      <c r="E78" s="4" t="n">
        <f aca="false">SUMPRODUCT((Promenade!$A$2:$A$200="Promenade")*(Promenade!$B$2:$B$200="Bottle Water")*(Promenade!$D$2:$D$200="White"),Promenade!$E$2:$E$200)</f>
        <v>14</v>
      </c>
      <c r="F78" s="20"/>
      <c r="G78" s="4" t="str">
        <f aca="false">IF(OR(E78="",F78=""),"",E78-F78)</f>
        <v/>
      </c>
      <c r="H78" s="7" t="str">
        <f aca="false">IF(E78="","Not counted",IF(F78="","Not in Mindbody",IF(E78=F78,"Match",IF(E78&gt;F78,"Physical higher","Mindbody higher"))))</f>
        <v>Not in Mindbody</v>
      </c>
      <c r="I78" s="10" t="s">
        <v>295</v>
      </c>
    </row>
    <row r="79" customFormat="false" ht="15" hidden="false" customHeight="false" outlineLevel="0" collapsed="false">
      <c r="A79" s="2" t="s">
        <v>251</v>
      </c>
      <c r="B79" s="2"/>
      <c r="C79" s="2" t="s">
        <v>253</v>
      </c>
      <c r="D79" s="3" t="s">
        <v>42</v>
      </c>
      <c r="E79" s="4" t="n">
        <f aca="false">SUMPRODUCT(('Old Stock - No Logo'!$A$2:$A$200="Promenade")*('Old Stock - No Logo'!$B$2:$B$200="Karate Uniform (No Logo)")*('Old Stock - No Logo'!$D$2:$D$200="140cm"),'Old Stock - No Logo'!$E$2:$E$200)</f>
        <v>13</v>
      </c>
      <c r="F79" s="20"/>
      <c r="G79" s="4" t="str">
        <f aca="false">IF(OR(E79="",F79=""),"",E79-F79)</f>
        <v/>
      </c>
      <c r="H79" s="7" t="str">
        <f aca="false">IF(E79="","Not counted",IF(F79="","Not in Mindbody",IF(E79=F79,"Match",IF(E79&gt;F79,"Physical higher","Mindbody higher"))))</f>
        <v>Not in Mindbody</v>
      </c>
      <c r="I79" s="10" t="s">
        <v>296</v>
      </c>
    </row>
    <row r="80" customFormat="false" ht="15" hidden="false" customHeight="false" outlineLevel="0" collapsed="false">
      <c r="A80" s="2" t="s">
        <v>251</v>
      </c>
      <c r="B80" s="2"/>
      <c r="C80" s="2" t="s">
        <v>253</v>
      </c>
      <c r="D80" s="3" t="s">
        <v>43</v>
      </c>
      <c r="E80" s="4" t="n">
        <f aca="false">SUMPRODUCT(('Old Stock - No Logo'!$A$2:$A$200="Promenade")*('Old Stock - No Logo'!$B$2:$B$200="Karate Uniform (No Logo)")*('Old Stock - No Logo'!$D$2:$D$200="130cm"),'Old Stock - No Logo'!$E$2:$E$200)</f>
        <v>18</v>
      </c>
      <c r="F80" s="20"/>
      <c r="G80" s="4" t="str">
        <f aca="false">IF(OR(E80="",F80=""),"",E80-F80)</f>
        <v/>
      </c>
      <c r="H80" s="7" t="str">
        <f aca="false">IF(E80="","Not counted",IF(F80="","Not in Mindbody",IF(E80=F80,"Match",IF(E80&gt;F80,"Physical higher","Mindbody higher"))))</f>
        <v>Not in Mindbody</v>
      </c>
      <c r="I80" s="10" t="s">
        <v>296</v>
      </c>
    </row>
    <row r="81" customFormat="false" ht="15" hidden="false" customHeight="false" outlineLevel="0" collapsed="false">
      <c r="A81" s="2" t="s">
        <v>251</v>
      </c>
      <c r="B81" s="2"/>
      <c r="C81" s="2" t="s">
        <v>253</v>
      </c>
      <c r="D81" s="3" t="s">
        <v>44</v>
      </c>
      <c r="E81" s="4" t="n">
        <f aca="false">SUMPRODUCT(('Old Stock - No Logo'!$A$2:$A$200="Promenade")*('Old Stock - No Logo'!$B$2:$B$200="Karate Uniform (No Logo)")*('Old Stock - No Logo'!$D$2:$D$200="120cm"),'Old Stock - No Logo'!$E$2:$E$200)</f>
        <v>31</v>
      </c>
      <c r="F81" s="20"/>
      <c r="G81" s="4" t="str">
        <f aca="false">IF(OR(E81="",F81=""),"",E81-F81)</f>
        <v/>
      </c>
      <c r="H81" s="7" t="str">
        <f aca="false">IF(E81="","Not counted",IF(F81="","Not in Mindbody",IF(E81=F81,"Match",IF(E81&gt;F81,"Physical higher","Mindbody higher"))))</f>
        <v>Not in Mindbody</v>
      </c>
      <c r="I81" s="10" t="s">
        <v>296</v>
      </c>
    </row>
    <row r="82" customFormat="false" ht="15" hidden="false" customHeight="false" outlineLevel="0" collapsed="false">
      <c r="A82" s="2" t="s">
        <v>251</v>
      </c>
      <c r="B82" s="2"/>
      <c r="C82" s="2" t="s">
        <v>253</v>
      </c>
      <c r="D82" s="3" t="s">
        <v>46</v>
      </c>
      <c r="E82" s="4" t="n">
        <f aca="false">SUMPRODUCT(('Old Stock - No Logo'!$A$2:$A$200="Promenade")*('Old Stock - No Logo'!$B$2:$B$200="Karate Uniform (No Logo)")*('Old Stock - No Logo'!$D$2:$D$200="100cm"),'Old Stock - No Logo'!$E$2:$E$200)</f>
        <v>34</v>
      </c>
      <c r="F82" s="20"/>
      <c r="G82" s="4" t="str">
        <f aca="false">IF(OR(E82="",F82=""),"",E82-F82)</f>
        <v/>
      </c>
      <c r="H82" s="7" t="str">
        <f aca="false">IF(E82="","Not counted",IF(F82="","Not in Mindbody",IF(E82=F82,"Match",IF(E82&gt;F82,"Physical higher","Mindbody higher"))))</f>
        <v>Not in Mindbody</v>
      </c>
      <c r="I82" s="10" t="s">
        <v>296</v>
      </c>
    </row>
    <row r="83" customFormat="false" ht="15" hidden="false" customHeight="false" outlineLevel="0" collapsed="false">
      <c r="A83" s="2" t="s">
        <v>251</v>
      </c>
      <c r="B83" s="2"/>
      <c r="C83" s="2" t="s">
        <v>253</v>
      </c>
      <c r="D83" s="3" t="s">
        <v>45</v>
      </c>
      <c r="E83" s="4" t="n">
        <f aca="false">SUMPRODUCT(('Old Stock - No Logo'!$A$2:$A$200="Promenade")*('Old Stock - No Logo'!$B$2:$B$200="Karate Uniform (No Logo)")*('Old Stock - No Logo'!$D$2:$D$200="110cm"),'Old Stock - No Logo'!$E$2:$E$200)</f>
        <v>86</v>
      </c>
      <c r="F83" s="20"/>
      <c r="G83" s="4" t="str">
        <f aca="false">IF(OR(E83="",F83=""),"",E83-F83)</f>
        <v/>
      </c>
      <c r="H83" s="7" t="str">
        <f aca="false">IF(E83="","Not counted",IF(F83="","Not in Mindbody",IF(E83=F83,"Match",IF(E83&gt;F83,"Physical higher","Mindbody higher"))))</f>
        <v>Not in Mindbody</v>
      </c>
      <c r="I83" s="10" t="s">
        <v>296</v>
      </c>
    </row>
    <row r="84" customFormat="false" ht="15" hidden="false" customHeight="false" outlineLevel="0" collapsed="false">
      <c r="A84" s="2" t="s">
        <v>251</v>
      </c>
      <c r="B84" s="2"/>
      <c r="C84" s="2" t="s">
        <v>253</v>
      </c>
      <c r="D84" s="3" t="s">
        <v>37</v>
      </c>
      <c r="E84" s="4" t="n">
        <f aca="false">SUMPRODUCT(('Old Stock - No Logo'!$A$2:$A$200="Promenade")*('Old Stock - No Logo'!$B$2:$B$200="Karate Uniform (No Logo)")*('Old Stock - No Logo'!$D$2:$D$200="190cm"),'Old Stock - No Logo'!$E$2:$E$200)</f>
        <v>1</v>
      </c>
      <c r="F84" s="20"/>
      <c r="G84" s="4" t="str">
        <f aca="false">IF(OR(E84="",F84=""),"",E84-F84)</f>
        <v/>
      </c>
      <c r="H84" s="7" t="str">
        <f aca="false">IF(E84="","Not counted",IF(F84="","Not in Mindbody",IF(E84=F84,"Match",IF(E84&gt;F84,"Physical higher","Mindbody higher"))))</f>
        <v>Not in Mindbody</v>
      </c>
      <c r="I84" s="10" t="s">
        <v>296</v>
      </c>
    </row>
    <row r="85" customFormat="false" ht="15" hidden="false" customHeight="false" outlineLevel="0" collapsed="false">
      <c r="A85" s="2" t="s">
        <v>251</v>
      </c>
      <c r="B85" s="2"/>
      <c r="C85" s="2" t="s">
        <v>258</v>
      </c>
      <c r="D85" s="3" t="s">
        <v>45</v>
      </c>
      <c r="E85" s="4" t="n">
        <f aca="false">SUMPRODUCT(('Old Stock - No Logo'!$A$2:$A$200="Promenade")*('Old Stock - No Logo'!$B$2:$B$200="Taekwondo Uniform (Old)")*('Old Stock - No Logo'!$D$2:$D$200="110cm"),'Old Stock - No Logo'!$E$2:$E$200)</f>
        <v>1</v>
      </c>
      <c r="F85" s="20"/>
      <c r="G85" s="4" t="str">
        <f aca="false">IF(OR(E85="",F85=""),"",E85-F85)</f>
        <v/>
      </c>
      <c r="H85" s="7" t="str">
        <f aca="false">IF(E85="","Not counted",IF(F85="","Not in Mindbody",IF(E85=F85,"Match",IF(E85&gt;F85,"Physical higher","Mindbody higher"))))</f>
        <v>Not in Mindbody</v>
      </c>
      <c r="I85" s="10" t="s">
        <v>296</v>
      </c>
    </row>
    <row r="86" customFormat="false" ht="15" hidden="false" customHeight="false" outlineLevel="0" collapsed="false">
      <c r="A86" s="2" t="s">
        <v>251</v>
      </c>
      <c r="B86" s="2"/>
      <c r="C86" s="2" t="s">
        <v>297</v>
      </c>
      <c r="D86" s="3" t="s">
        <v>45</v>
      </c>
      <c r="E86" s="4" t="n">
        <f aca="false">SUMPRODUCT(('Old Stock - No Logo'!$A$2:$A$200="Promenade")*('Old Stock - No Logo'!$B$2:$B$200="Kajukimbo Uniform (No Logo)")*('Old Stock - No Logo'!$D$2:$D$200="110cm"),'Old Stock - No Logo'!$E$2:$E$200)</f>
        <v>20</v>
      </c>
      <c r="F86" s="20"/>
      <c r="G86" s="4" t="str">
        <f aca="false">IF(OR(E86="",F86=""),"",E86-F86)</f>
        <v/>
      </c>
      <c r="H86" s="7" t="str">
        <f aca="false">IF(E86="","Not counted",IF(F86="","Not in Mindbody",IF(E86=F86,"Match",IF(E86&gt;F86,"Physical higher","Mindbody higher"))))</f>
        <v>Not in Mindbody</v>
      </c>
      <c r="I86" s="10" t="s">
        <v>296</v>
      </c>
    </row>
    <row r="87" customFormat="false" ht="15" hidden="false" customHeight="false" outlineLevel="0" collapsed="false">
      <c r="A87" s="2" t="s">
        <v>251</v>
      </c>
      <c r="B87" s="2"/>
      <c r="C87" s="2" t="s">
        <v>297</v>
      </c>
      <c r="D87" s="3" t="s">
        <v>44</v>
      </c>
      <c r="E87" s="4" t="n">
        <f aca="false">SUMPRODUCT(('Old Stock - No Logo'!$A$2:$A$200="Promenade")*('Old Stock - No Logo'!$B$2:$B$200="Kajukimbo Uniform (No Logo)")*('Old Stock - No Logo'!$D$2:$D$200="120cm"),'Old Stock - No Logo'!$E$2:$E$200)</f>
        <v>1</v>
      </c>
      <c r="F87" s="20"/>
      <c r="G87" s="4" t="str">
        <f aca="false">IF(OR(E87="",F87=""),"",E87-F87)</f>
        <v/>
      </c>
      <c r="H87" s="7" t="str">
        <f aca="false">IF(E87="","Not counted",IF(F87="","Not in Mindbody",IF(E87=F87,"Match",IF(E87&gt;F87,"Physical higher","Mindbody higher"))))</f>
        <v>Not in Mindbody</v>
      </c>
      <c r="I87" s="10" t="s">
        <v>296</v>
      </c>
    </row>
    <row r="88" customFormat="false" ht="15" hidden="false" customHeight="false" outlineLevel="0" collapsed="false">
      <c r="A88" s="2" t="s">
        <v>251</v>
      </c>
      <c r="B88" s="2"/>
      <c r="C88" s="2" t="s">
        <v>298</v>
      </c>
      <c r="D88" s="3" t="s">
        <v>27</v>
      </c>
      <c r="E88" s="4" t="n">
        <f aca="false">SUMPRODUCT(('Old Stock - No Logo'!$A$2:$A$200="Promenade")*('Old Stock - No Logo'!$B$2:$B$200="Backpack (No Logo)")*('Old Stock - No Logo'!$D$2:$D$200="-"),'Old Stock - No Logo'!$E$2:$E$200)</f>
        <v>4</v>
      </c>
      <c r="F88" s="20"/>
      <c r="G88" s="4" t="str">
        <f aca="false">IF(OR(E88="",F88=""),"",E88-F88)</f>
        <v/>
      </c>
      <c r="H88" s="7" t="str">
        <f aca="false">IF(E88="","Not counted",IF(F88="","Not in Mindbody",IF(E88=F88,"Match",IF(E88&gt;F88,"Physical higher","Mindbody higher"))))</f>
        <v>Not in Mindbody</v>
      </c>
      <c r="I88" s="10" t="s">
        <v>296</v>
      </c>
    </row>
    <row r="89" customFormat="false" ht="15" hidden="false" customHeight="false" outlineLevel="0" collapsed="false">
      <c r="A89" s="2" t="s">
        <v>251</v>
      </c>
      <c r="B89" s="2"/>
      <c r="C89" s="2" t="s">
        <v>272</v>
      </c>
      <c r="D89" s="3" t="s">
        <v>45</v>
      </c>
      <c r="E89" s="4" t="n">
        <f aca="false">SUMPRODUCT(('No Program'!$A$2:$A$200="Promenade")*('No Program'!$B$2:$B$200="Judo Uniform (No Logo)")*('No Program'!$D$2:$D$200="110cm"),'No Program'!$E$2:$E$200)</f>
        <v>29</v>
      </c>
      <c r="F89" s="20"/>
      <c r="G89" s="4" t="str">
        <f aca="false">IF(OR(E89="",F89=""),"",E89-F89)</f>
        <v/>
      </c>
      <c r="H89" s="7" t="str">
        <f aca="false">IF(E89="","Not counted",IF(F89="","Not in Mindbody",IF(E89=F89,"Match",IF(E89&gt;F89,"Physical higher","Mindbody higher"))))</f>
        <v>Not in Mindbody</v>
      </c>
      <c r="I89" s="10" t="s">
        <v>299</v>
      </c>
    </row>
    <row r="90" customFormat="false" ht="15" hidden="false" customHeight="false" outlineLevel="0" collapsed="false">
      <c r="A90" s="2" t="s">
        <v>251</v>
      </c>
      <c r="B90" s="2"/>
      <c r="C90" s="2" t="s">
        <v>272</v>
      </c>
      <c r="D90" s="3" t="s">
        <v>46</v>
      </c>
      <c r="E90" s="4" t="n">
        <f aca="false">SUMPRODUCT(('No Program'!$A$2:$A$200="Promenade")*('No Program'!$B$2:$B$200="Judo Uniform (No Logo)")*('No Program'!$D$2:$D$200="100cm"),'No Program'!$E$2:$E$200)</f>
        <v>3</v>
      </c>
      <c r="F90" s="20"/>
      <c r="G90" s="4" t="str">
        <f aca="false">IF(OR(E90="",F90=""),"",E90-F90)</f>
        <v/>
      </c>
      <c r="H90" s="7" t="str">
        <f aca="false">IF(E90="","Not counted",IF(F90="","Not in Mindbody",IF(E90=F90,"Match",IF(E90&gt;F90,"Physical higher","Mindbody higher"))))</f>
        <v>Not in Mindbody</v>
      </c>
      <c r="I90" s="10" t="s">
        <v>299</v>
      </c>
    </row>
    <row r="91" customFormat="false" ht="15" hidden="false" customHeight="false" outlineLevel="0" collapsed="false">
      <c r="A91" s="2" t="s">
        <v>251</v>
      </c>
      <c r="B91" s="2"/>
      <c r="C91" s="2" t="s">
        <v>272</v>
      </c>
      <c r="D91" s="3" t="s">
        <v>43</v>
      </c>
      <c r="E91" s="21"/>
      <c r="F91" s="20"/>
      <c r="G91" s="4" t="str">
        <f aca="false">IF(OR(E91="",F91=""),"",E91-F91)</f>
        <v/>
      </c>
      <c r="H91" s="7" t="str">
        <f aca="false">IF(E91="","Not counted",IF(F91="","Not in Mindbody",IF(E91=F91,"Match",IF(E91&gt;F91,"Physical higher","Mindbody higher"))))</f>
        <v>Not counted</v>
      </c>
      <c r="I91" s="10" t="s">
        <v>300</v>
      </c>
    </row>
    <row r="92" customFormat="false" ht="15" hidden="false" customHeight="false" outlineLevel="0" collapsed="false">
      <c r="A92" s="2" t="s">
        <v>251</v>
      </c>
      <c r="B92" s="2"/>
      <c r="C92" s="2" t="s">
        <v>272</v>
      </c>
      <c r="D92" s="3" t="s">
        <v>44</v>
      </c>
      <c r="E92" s="4" t="n">
        <f aca="false">SUMPRODUCT(('No Program'!$A$2:$A$200="Promenade")*('No Program'!$B$2:$B$200="Judo Uniform (No Logo)")*('No Program'!$D$2:$D$200="120cm"),'No Program'!$E$2:$E$200)</f>
        <v>28</v>
      </c>
      <c r="F92" s="20"/>
      <c r="G92" s="4" t="str">
        <f aca="false">IF(OR(E92="",F92=""),"",E92-F92)</f>
        <v/>
      </c>
      <c r="H92" s="7" t="str">
        <f aca="false">IF(E92="","Not counted",IF(F92="","Not in Mindbody",IF(E92=F92,"Match",IF(E92&gt;F92,"Physical higher","Mindbody higher"))))</f>
        <v>Not in Mindbody</v>
      </c>
      <c r="I92" s="10" t="s">
        <v>299</v>
      </c>
    </row>
    <row r="93" customFormat="false" ht="15" hidden="false" customHeight="false" outlineLevel="0" collapsed="false">
      <c r="A93" s="2" t="s">
        <v>251</v>
      </c>
      <c r="B93" s="2"/>
      <c r="C93" s="2" t="s">
        <v>272</v>
      </c>
      <c r="D93" s="3" t="s">
        <v>42</v>
      </c>
      <c r="E93" s="4" t="n">
        <f aca="false">SUMPRODUCT(('No Program'!$A$2:$A$200="Promenade")*('No Program'!$B$2:$B$200="Judo Uniform (No Logo)")*('No Program'!$D$2:$D$200="140cm"),'No Program'!$E$2:$E$200)</f>
        <v>10</v>
      </c>
      <c r="F93" s="20"/>
      <c r="G93" s="4" t="str">
        <f aca="false">IF(OR(E93="",F93=""),"",E93-F93)</f>
        <v/>
      </c>
      <c r="H93" s="7" t="str">
        <f aca="false">IF(E93="","Not counted",IF(F93="","Not in Mindbody",IF(E93=F93,"Match",IF(E93&gt;F93,"Physical higher","Mindbody higher"))))</f>
        <v>Not in Mindbody</v>
      </c>
      <c r="I93" s="10" t="s">
        <v>299</v>
      </c>
    </row>
    <row r="94" customFormat="false" ht="15" hidden="false" customHeight="false" outlineLevel="0" collapsed="false">
      <c r="A94" s="2" t="s">
        <v>251</v>
      </c>
      <c r="B94" s="2"/>
      <c r="C94" s="2" t="s">
        <v>272</v>
      </c>
      <c r="D94" s="3" t="s">
        <v>41</v>
      </c>
      <c r="E94" s="4" t="n">
        <f aca="false">SUMPRODUCT(('No Program'!$A$2:$A$200="Promenade")*('No Program'!$B$2:$B$200="Judo Uniform (No Logo)")*('No Program'!$D$2:$D$200="150cm"),'No Program'!$E$2:$E$200)</f>
        <v>1</v>
      </c>
      <c r="F94" s="20"/>
      <c r="G94" s="4" t="str">
        <f aca="false">IF(OR(E94="",F94=""),"",E94-F94)</f>
        <v/>
      </c>
      <c r="H94" s="7" t="str">
        <f aca="false">IF(E94="","Not counted",IF(F94="","Not in Mindbody",IF(E94=F94,"Match",IF(E94&gt;F94,"Physical higher","Mindbody higher"))))</f>
        <v>Not in Mindbody</v>
      </c>
      <c r="I94" s="10" t="s">
        <v>299</v>
      </c>
    </row>
    <row r="95" customFormat="false" ht="15" hidden="false" customHeight="false" outlineLevel="0" collapsed="false">
      <c r="A95" s="2" t="s">
        <v>251</v>
      </c>
      <c r="B95" s="2"/>
      <c r="C95" s="2" t="s">
        <v>263</v>
      </c>
      <c r="D95" s="3" t="s">
        <v>45</v>
      </c>
      <c r="E95" s="4" t="n">
        <f aca="false">SUMPRODUCT(('No Program'!$A$2:$A$200="Promenade")*('No Program'!$B$2:$B$200="Judo Uniform (With Logo)")*('No Program'!$D$2:$D$200="110cm"),'No Program'!$E$2:$E$200)</f>
        <v>9</v>
      </c>
      <c r="F95" s="20"/>
      <c r="G95" s="4" t="str">
        <f aca="false">IF(OR(E95="",F95=""),"",E95-F95)</f>
        <v/>
      </c>
      <c r="H95" s="7" t="str">
        <f aca="false">IF(E95="","Not counted",IF(F95="","Not in Mindbody",IF(E95=F95,"Match",IF(E95&gt;F95,"Physical higher","Mindbody higher"))))</f>
        <v>Not in Mindbody</v>
      </c>
      <c r="I95" s="10" t="s">
        <v>299</v>
      </c>
    </row>
    <row r="96" customFormat="false" ht="15" hidden="false" customHeight="false" outlineLevel="0" collapsed="false">
      <c r="A96" s="2" t="s">
        <v>251</v>
      </c>
      <c r="B96" s="2"/>
      <c r="C96" s="2" t="s">
        <v>263</v>
      </c>
      <c r="D96" s="3" t="s">
        <v>46</v>
      </c>
      <c r="E96" s="21"/>
      <c r="F96" s="20"/>
      <c r="G96" s="4" t="str">
        <f aca="false">IF(OR(E96="",F96=""),"",E96-F96)</f>
        <v/>
      </c>
      <c r="H96" s="7" t="str">
        <f aca="false">IF(E96="","Not counted",IF(F96="","Not in Mindbody",IF(E96=F96,"Match",IF(E96&gt;F96,"Physical higher","Mindbody higher"))))</f>
        <v>Not counted</v>
      </c>
      <c r="I96" s="10" t="s">
        <v>300</v>
      </c>
    </row>
    <row r="97" customFormat="false" ht="15" hidden="false" customHeight="false" outlineLevel="0" collapsed="false">
      <c r="A97" s="2" t="s">
        <v>251</v>
      </c>
      <c r="B97" s="2"/>
      <c r="C97" s="2" t="s">
        <v>263</v>
      </c>
      <c r="D97" s="3" t="s">
        <v>44</v>
      </c>
      <c r="E97" s="4" t="n">
        <f aca="false">SUMPRODUCT(('No Program'!$A$2:$A$200="Promenade")*('No Program'!$B$2:$B$200="Judo Uniform (With Logo)")*('No Program'!$D$2:$D$200="120cm"),'No Program'!$E$2:$E$200)</f>
        <v>6</v>
      </c>
      <c r="F97" s="20"/>
      <c r="G97" s="4" t="str">
        <f aca="false">IF(OR(E97="",F97=""),"",E97-F97)</f>
        <v/>
      </c>
      <c r="H97" s="7" t="str">
        <f aca="false">IF(E97="","Not counted",IF(F97="","Not in Mindbody",IF(E97=F97,"Match",IF(E97&gt;F97,"Physical higher","Mindbody higher"))))</f>
        <v>Not in Mindbody</v>
      </c>
      <c r="I97" s="10" t="s">
        <v>299</v>
      </c>
    </row>
    <row r="98" customFormat="false" ht="15" hidden="false" customHeight="false" outlineLevel="0" collapsed="false">
      <c r="A98" s="2" t="s">
        <v>251</v>
      </c>
      <c r="B98" s="2"/>
      <c r="C98" s="2" t="s">
        <v>263</v>
      </c>
      <c r="D98" s="3" t="s">
        <v>42</v>
      </c>
      <c r="E98" s="4" t="n">
        <f aca="false">SUMPRODUCT(('No Program'!$A$2:$A$200="Promenade")*('No Program'!$B$2:$B$200="Judo Uniform (With Logo)")*('No Program'!$D$2:$D$200="140cm"),'No Program'!$E$2:$E$200)</f>
        <v>5</v>
      </c>
      <c r="F98" s="20"/>
      <c r="G98" s="4" t="str">
        <f aca="false">IF(OR(E98="",F98=""),"",E98-F98)</f>
        <v/>
      </c>
      <c r="H98" s="7" t="str">
        <f aca="false">IF(E98="","Not counted",IF(F98="","Not in Mindbody",IF(E98=F98,"Match",IF(E98&gt;F98,"Physical higher","Mindbody higher"))))</f>
        <v>Not in Mindbody</v>
      </c>
      <c r="I98" s="10" t="s">
        <v>299</v>
      </c>
    </row>
    <row r="99" customFormat="false" ht="15" hidden="false" customHeight="false" outlineLevel="0" collapsed="false">
      <c r="A99" s="2" t="s">
        <v>251</v>
      </c>
      <c r="B99" s="2"/>
      <c r="C99" s="2" t="s">
        <v>263</v>
      </c>
      <c r="D99" s="3" t="s">
        <v>43</v>
      </c>
      <c r="E99" s="4" t="n">
        <f aca="false">SUMPRODUCT(('No Program'!$A$2:$A$200="Promenade")*('No Program'!$B$2:$B$200="Judo Uniform (With Logo)")*('No Program'!$D$2:$D$200="130cm"),'No Program'!$E$2:$E$200)</f>
        <v>6</v>
      </c>
      <c r="F99" s="20"/>
      <c r="G99" s="4" t="str">
        <f aca="false">IF(OR(E99="",F99=""),"",E99-F99)</f>
        <v/>
      </c>
      <c r="H99" s="7" t="str">
        <f aca="false">IF(E99="","Not counted",IF(F99="","Not in Mindbody",IF(E99=F99,"Match",IF(E99&gt;F99,"Physical higher","Mindbody higher"))))</f>
        <v>Not in Mindbody</v>
      </c>
      <c r="I99" s="10" t="s">
        <v>299</v>
      </c>
    </row>
  </sheetData>
  <autoFilter ref="A9:I99"/>
  <conditionalFormatting sqref="H10:H99">
    <cfRule type="expression" priority="2" aboveAverage="0" equalAverage="0" bottom="0" percent="0" rank="0" text="" dxfId="12">
      <formula>$H10="Match"</formula>
    </cfRule>
    <cfRule type="expression" priority="3" aboveAverage="0" equalAverage="0" bottom="0" percent="0" rank="0" text="" dxfId="4">
      <formula>OR($H10="Physical higher",$H10="Mindbody higher")</formula>
    </cfRule>
    <cfRule type="expression" priority="4" aboveAverage="0" equalAverage="0" bottom="0" percent="0" rank="0" text="" dxfId="7">
      <formula>OR($H10="Not in Mindbody",$H10="Not counted")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8"/>
    <col collapsed="false" customWidth="true" hidden="false" outlineLevel="0" max="4" min="4" style="0" width="38"/>
    <col collapsed="false" customWidth="true" hidden="false" outlineLevel="0" max="5" min="5" style="0" width="20"/>
    <col collapsed="false" customWidth="true" hidden="false" outlineLevel="0" max="8" min="6" style="0" width="11"/>
    <col collapsed="false" customWidth="true" hidden="false" outlineLevel="0" max="9" min="9" style="0" width="70"/>
  </cols>
  <sheetData>
    <row r="1" customFormat="false" ht="15" hidden="false" customHeight="false" outlineLevel="0" collapsed="false">
      <c r="A1" s="16" t="s">
        <v>301</v>
      </c>
    </row>
    <row r="2" customFormat="false" ht="15" hidden="false" customHeight="false" outlineLevel="0" collapsed="false">
      <c r="A2" s="6" t="s">
        <v>302</v>
      </c>
    </row>
    <row r="4" customFormat="false" ht="15" hidden="false" customHeight="false" outlineLevel="0" collapsed="false">
      <c r="A4" s="17" t="s">
        <v>147</v>
      </c>
      <c r="C4" s="17" t="s">
        <v>148</v>
      </c>
      <c r="E4" s="17" t="s">
        <v>149</v>
      </c>
      <c r="G4" s="17" t="s">
        <v>150</v>
      </c>
    </row>
    <row r="5" customFormat="false" ht="15" hidden="false" customHeight="false" outlineLevel="0" collapsed="false">
      <c r="A5" s="22" t="n">
        <f aca="false">COUNTIF($A$8:$A$300,"Physical higher")</f>
        <v>3</v>
      </c>
      <c r="C5" s="22" t="n">
        <f aca="false">COUNTIF($A$8:$A$300,"Mindbody higher")</f>
        <v>0</v>
      </c>
      <c r="E5" s="22" t="n">
        <f aca="false">COUNTIF($A$8:$A$300,"Not in Mindbody")</f>
        <v>70</v>
      </c>
      <c r="G5" s="22" t="n">
        <f aca="false">COUNTIF($A$8:$A$300,"Not counted")</f>
        <v>6</v>
      </c>
    </row>
    <row r="7" customFormat="false" ht="31.5" hidden="false" customHeight="true" outlineLevel="0" collapsed="false">
      <c r="A7" s="1" t="s">
        <v>158</v>
      </c>
      <c r="B7" s="1" t="s">
        <v>151</v>
      </c>
      <c r="C7" s="1" t="s">
        <v>152</v>
      </c>
      <c r="D7" s="1" t="s">
        <v>153</v>
      </c>
      <c r="E7" s="1" t="s">
        <v>154</v>
      </c>
      <c r="F7" s="1" t="s">
        <v>155</v>
      </c>
      <c r="G7" s="1" t="s">
        <v>156</v>
      </c>
      <c r="H7" s="1" t="s">
        <v>277</v>
      </c>
      <c r="I7" s="1" t="s">
        <v>159</v>
      </c>
    </row>
    <row r="8" customFormat="false" ht="15" hidden="false" customHeight="false" outlineLevel="0" collapsed="false">
      <c r="A8" s="2" t="str">
        <f aca="false">IF('Promenade vs Mindbody'!H16="","",'Promenade vs Mindbody'!H16)</f>
        <v>Physical higher</v>
      </c>
      <c r="B8" s="2" t="str">
        <f aca="false">IF('Promenade vs Mindbody'!A16="","",'Promenade vs Mindbody'!A16)</f>
        <v>Elite Shirt (White)</v>
      </c>
      <c r="C8" s="2" t="str">
        <f aca="false">IF('Promenade vs Mindbody'!B16="","",'Promenade vs Mindbody'!B16)</f>
        <v>5 - 6</v>
      </c>
      <c r="D8" s="2" t="str">
        <f aca="false">IF('Promenade vs Mindbody'!C16="","",'Promenade vs Mindbody'!C16)</f>
        <v>White T-shirt (Elite)</v>
      </c>
      <c r="E8" s="4" t="str">
        <f aca="false">IF('Promenade vs Mindbody'!D16="","",'Promenade vs Mindbody'!D16)</f>
        <v>5/6</v>
      </c>
      <c r="F8" s="4" t="n">
        <f aca="false">IF('Promenade vs Mindbody'!E16="","",'Promenade vs Mindbody'!E16)</f>
        <v>2</v>
      </c>
      <c r="G8" s="4" t="n">
        <f aca="false">IF('Promenade vs Mindbody'!F16="","",'Promenade vs Mindbody'!F16)</f>
        <v>1</v>
      </c>
      <c r="H8" s="4" t="n">
        <f aca="false">IF('Promenade vs Mindbody'!G16="","",'Promenade vs Mindbody'!G16)</f>
        <v>1</v>
      </c>
      <c r="I8" s="10" t="str">
        <f aca="false">IF('Promenade vs Mindbody'!I16="","",'Promenade vs Mindbody'!I16)</f>
        <v>'From Argan (Old)' 5/6 (1) is listed separately and not included here</v>
      </c>
    </row>
    <row r="9" customFormat="false" ht="15" hidden="false" customHeight="false" outlineLevel="0" collapsed="false">
      <c r="A9" s="2" t="str">
        <f aca="false">IF('Promenade vs Mindbody'!H18="","",'Promenade vs Mindbody'!H18)</f>
        <v>Physical higher</v>
      </c>
      <c r="B9" s="2" t="str">
        <f aca="false">IF('Promenade vs Mindbody'!A18="","",'Promenade vs Mindbody'!A18)</f>
        <v>Elite Shirt (White)</v>
      </c>
      <c r="C9" s="2" t="str">
        <f aca="false">IF('Promenade vs Mindbody'!B18="","",'Promenade vs Mindbody'!B18)</f>
        <v>9 - 10</v>
      </c>
      <c r="D9" s="2" t="str">
        <f aca="false">IF('Promenade vs Mindbody'!C18="","",'Promenade vs Mindbody'!C18)</f>
        <v>White T-shirt (Elite)</v>
      </c>
      <c r="E9" s="4" t="str">
        <f aca="false">IF('Promenade vs Mindbody'!D18="","",'Promenade vs Mindbody'!D18)</f>
        <v>9/10</v>
      </c>
      <c r="F9" s="4" t="n">
        <f aca="false">IF('Promenade vs Mindbody'!E18="","",'Promenade vs Mindbody'!E18)</f>
        <v>6</v>
      </c>
      <c r="G9" s="4" t="n">
        <f aca="false">IF('Promenade vs Mindbody'!F18="","",'Promenade vs Mindbody'!F18)</f>
        <v>5</v>
      </c>
      <c r="H9" s="4" t="n">
        <f aca="false">IF('Promenade vs Mindbody'!G18="","",'Promenade vs Mindbody'!G18)</f>
        <v>1</v>
      </c>
      <c r="I9" s="10" t="str">
        <f aca="false">IF('Promenade vs Mindbody'!I18="","",'Promenade vs Mindbody'!I18)</f>
        <v/>
      </c>
    </row>
    <row r="10" customFormat="false" ht="15" hidden="false" customHeight="false" outlineLevel="0" collapsed="false">
      <c r="A10" s="2" t="str">
        <f aca="false">IF('Promenade vs Mindbody'!H21="","",'Promenade vs Mindbody'!H21)</f>
        <v>Physical higher</v>
      </c>
      <c r="B10" s="2" t="str">
        <f aca="false">IF('Promenade vs Mindbody'!A21="","",'Promenade vs Mindbody'!A21)</f>
        <v>Shin Guard</v>
      </c>
      <c r="C10" s="2" t="str">
        <f aca="false">IF('Promenade vs Mindbody'!B21="","",'Promenade vs Mindbody'!B21)</f>
        <v>Large</v>
      </c>
      <c r="D10" s="2" t="str">
        <f aca="false">IF('Promenade vs Mindbody'!C21="","",'Promenade vs Mindbody'!C21)</f>
        <v>Shin Guard</v>
      </c>
      <c r="E10" s="4" t="str">
        <f aca="false">IF('Promenade vs Mindbody'!D21="","",'Promenade vs Mindbody'!D21)</f>
        <v>L</v>
      </c>
      <c r="F10" s="4" t="n">
        <f aca="false">IF('Promenade vs Mindbody'!E21="","",'Promenade vs Mindbody'!E21)</f>
        <v>4</v>
      </c>
      <c r="G10" s="4" t="n">
        <f aca="false">IF('Promenade vs Mindbody'!F21="","",'Promenade vs Mindbody'!F21)</f>
        <v>2</v>
      </c>
      <c r="H10" s="4" t="n">
        <f aca="false">IF('Promenade vs Mindbody'!G21="","",'Promenade vs Mindbody'!G21)</f>
        <v>2</v>
      </c>
      <c r="I10" s="10" t="str">
        <f aca="false">IF('Promenade vs Mindbody'!I21="","",'Promenade vs Mindbody'!I21)</f>
        <v>Physical 4 = 2 counted (New items) + 2 transferred; Mindbody 2 = transfer only</v>
      </c>
    </row>
    <row r="11" customFormat="false" ht="15" hidden="false" customHeight="false" outlineLevel="0" collapsed="false">
      <c r="A11" s="2" t="str">
        <f aca="false">IF('Promenade vs Mindbody'!H24="","",'Promenade vs Mindbody'!H24)</f>
        <v>Not in Mindbody</v>
      </c>
      <c r="B11" s="2" t="str">
        <f aca="false">IF('Promenade vs Mindbody'!A24="","",'Promenade vs Mindbody'!A24)</f>
        <v>(no Mindbody product)</v>
      </c>
      <c r="C11" s="2" t="str">
        <f aca="false">IF('Promenade vs Mindbody'!B24="","",'Promenade vs Mindbody'!B24)</f>
        <v/>
      </c>
      <c r="D11" s="2" t="str">
        <f aca="false">IF('Promenade vs Mindbody'!C24="","",'Promenade vs Mindbody'!C24)</f>
        <v>Kajukimbo Patch - Shoulder</v>
      </c>
      <c r="E11" s="4" t="str">
        <f aca="false">IF('Promenade vs Mindbody'!D24="","",'Promenade vs Mindbody'!D24)</f>
        <v>-</v>
      </c>
      <c r="F11" s="4" t="n">
        <f aca="false">IF('Promenade vs Mindbody'!E24="","",'Promenade vs Mindbody'!E24)</f>
        <v>6</v>
      </c>
      <c r="G11" s="4" t="str">
        <f aca="false">IF('Promenade vs Mindbody'!F24="","",'Promenade vs Mindbody'!F24)</f>
        <v/>
      </c>
      <c r="H11" s="4" t="str">
        <f aca="false">IF('Promenade vs Mindbody'!G24="","",'Promenade vs Mindbody'!G24)</f>
        <v/>
      </c>
      <c r="I11" s="10" t="str">
        <f aca="false">IF('Promenade vs Mindbody'!I24="","",'Promenade vs Mindbody'!I24)</f>
        <v>Kajukenbo Patch exists in Bedaya Mindbody, not set up at Promenade</v>
      </c>
    </row>
    <row r="12" customFormat="false" ht="15" hidden="false" customHeight="false" outlineLevel="0" collapsed="false">
      <c r="A12" s="2" t="str">
        <f aca="false">IF('Promenade vs Mindbody'!H25="","",'Promenade vs Mindbody'!H25)</f>
        <v>Not in Mindbody</v>
      </c>
      <c r="B12" s="2" t="str">
        <f aca="false">IF('Promenade vs Mindbody'!A25="","",'Promenade vs Mindbody'!A25)</f>
        <v>(no Mindbody product)</v>
      </c>
      <c r="C12" s="2" t="str">
        <f aca="false">IF('Promenade vs Mindbody'!B25="","",'Promenade vs Mindbody'!B25)</f>
        <v/>
      </c>
      <c r="D12" s="2" t="str">
        <f aca="false">IF('Promenade vs Mindbody'!C25="","",'Promenade vs Mindbody'!C25)</f>
        <v>Kajukimbo Patch - Circle (Front)</v>
      </c>
      <c r="E12" s="4" t="str">
        <f aca="false">IF('Promenade vs Mindbody'!D25="","",'Promenade vs Mindbody'!D25)</f>
        <v>-</v>
      </c>
      <c r="F12" s="4" t="n">
        <f aca="false">IF('Promenade vs Mindbody'!E25="","",'Promenade vs Mindbody'!E25)</f>
        <v>6</v>
      </c>
      <c r="G12" s="4" t="str">
        <f aca="false">IF('Promenade vs Mindbody'!F25="","",'Promenade vs Mindbody'!F25)</f>
        <v/>
      </c>
      <c r="H12" s="4" t="str">
        <f aca="false">IF('Promenade vs Mindbody'!G25="","",'Promenade vs Mindbody'!G25)</f>
        <v/>
      </c>
      <c r="I12" s="10" t="str">
        <f aca="false">IF('Promenade vs Mindbody'!I25="","",'Promenade vs Mindbody'!I25)</f>
        <v>Kajukenbo Patch exists in Bedaya Mindbody, not set up at Promenade</v>
      </c>
    </row>
    <row r="13" customFormat="false" ht="15" hidden="false" customHeight="false" outlineLevel="0" collapsed="false">
      <c r="A13" s="2" t="str">
        <f aca="false">IF('Promenade vs Mindbody'!H26="","",'Promenade vs Mindbody'!H26)</f>
        <v>Not in Mindbody</v>
      </c>
      <c r="B13" s="2" t="str">
        <f aca="false">IF('Promenade vs Mindbody'!A26="","",'Promenade vs Mindbody'!A26)</f>
        <v>(no Mindbody product)</v>
      </c>
      <c r="C13" s="2" t="str">
        <f aca="false">IF('Promenade vs Mindbody'!B26="","",'Promenade vs Mindbody'!B26)</f>
        <v/>
      </c>
      <c r="D13" s="2" t="str">
        <f aca="false">IF('Promenade vs Mindbody'!C26="","",'Promenade vs Mindbody'!C26)</f>
        <v>White T-shirt (Elite) - From Argan (Old)</v>
      </c>
      <c r="E13" s="4" t="str">
        <f aca="false">IF('Promenade vs Mindbody'!D26="","",'Promenade vs Mindbody'!D26)</f>
        <v>13/14</v>
      </c>
      <c r="F13" s="4" t="n">
        <f aca="false">IF('Promenade vs Mindbody'!E26="","",'Promenade vs Mindbody'!E26)</f>
        <v>1</v>
      </c>
      <c r="G13" s="4" t="str">
        <f aca="false">IF('Promenade vs Mindbody'!F26="","",'Promenade vs Mindbody'!F26)</f>
        <v/>
      </c>
      <c r="H13" s="4" t="str">
        <f aca="false">IF('Promenade vs Mindbody'!G26="","",'Promenade vs Mindbody'!G26)</f>
        <v/>
      </c>
      <c r="I13" s="10" t="str">
        <f aca="false">IF('Promenade vs Mindbody'!I26="","",'Promenade vs Mindbody'!I26)</f>
        <v>Not listed in Mindbody Promenade</v>
      </c>
    </row>
    <row r="14" customFormat="false" ht="15" hidden="false" customHeight="false" outlineLevel="0" collapsed="false">
      <c r="A14" s="2" t="str">
        <f aca="false">IF('Promenade vs Mindbody'!H27="","",'Promenade vs Mindbody'!H27)</f>
        <v>Not in Mindbody</v>
      </c>
      <c r="B14" s="2" t="str">
        <f aca="false">IF('Promenade vs Mindbody'!A27="","",'Promenade vs Mindbody'!A27)</f>
        <v>(no Mindbody product)</v>
      </c>
      <c r="C14" s="2" t="str">
        <f aca="false">IF('Promenade vs Mindbody'!B27="","",'Promenade vs Mindbody'!B27)</f>
        <v/>
      </c>
      <c r="D14" s="2" t="str">
        <f aca="false">IF('Promenade vs Mindbody'!C27="","",'Promenade vs Mindbody'!C27)</f>
        <v>White T-shirt (Elite) - From Argan (Old)</v>
      </c>
      <c r="E14" s="4" t="str">
        <f aca="false">IF('Promenade vs Mindbody'!D27="","",'Promenade vs Mindbody'!D27)</f>
        <v>11/12</v>
      </c>
      <c r="F14" s="4" t="n">
        <f aca="false">IF('Promenade vs Mindbody'!E27="","",'Promenade vs Mindbody'!E27)</f>
        <v>2</v>
      </c>
      <c r="G14" s="4" t="str">
        <f aca="false">IF('Promenade vs Mindbody'!F27="","",'Promenade vs Mindbody'!F27)</f>
        <v/>
      </c>
      <c r="H14" s="4" t="str">
        <f aca="false">IF('Promenade vs Mindbody'!G27="","",'Promenade vs Mindbody'!G27)</f>
        <v/>
      </c>
      <c r="I14" s="10" t="str">
        <f aca="false">IF('Promenade vs Mindbody'!I27="","",'Promenade vs Mindbody'!I27)</f>
        <v>Not listed in Mindbody Promenade</v>
      </c>
    </row>
    <row r="15" customFormat="false" ht="15" hidden="false" customHeight="false" outlineLevel="0" collapsed="false">
      <c r="A15" s="2" t="str">
        <f aca="false">IF('Promenade vs Mindbody'!H28="","",'Promenade vs Mindbody'!H28)</f>
        <v>Not in Mindbody</v>
      </c>
      <c r="B15" s="2" t="str">
        <f aca="false">IF('Promenade vs Mindbody'!A28="","",'Promenade vs Mindbody'!A28)</f>
        <v>(no Mindbody product)</v>
      </c>
      <c r="C15" s="2" t="str">
        <f aca="false">IF('Promenade vs Mindbody'!B28="","",'Promenade vs Mindbody'!B28)</f>
        <v/>
      </c>
      <c r="D15" s="2" t="str">
        <f aca="false">IF('Promenade vs Mindbody'!C28="","",'Promenade vs Mindbody'!C28)</f>
        <v>White T-shirt (Elite) - From Argan (Old)</v>
      </c>
      <c r="E15" s="4" t="str">
        <f aca="false">IF('Promenade vs Mindbody'!D28="","",'Promenade vs Mindbody'!D28)</f>
        <v>5/6</v>
      </c>
      <c r="F15" s="4" t="n">
        <f aca="false">IF('Promenade vs Mindbody'!E28="","",'Promenade vs Mindbody'!E28)</f>
        <v>1</v>
      </c>
      <c r="G15" s="4" t="str">
        <f aca="false">IF('Promenade vs Mindbody'!F28="","",'Promenade vs Mindbody'!F28)</f>
        <v/>
      </c>
      <c r="H15" s="4" t="str">
        <f aca="false">IF('Promenade vs Mindbody'!G28="","",'Promenade vs Mindbody'!G28)</f>
        <v/>
      </c>
      <c r="I15" s="10" t="str">
        <f aca="false">IF('Promenade vs Mindbody'!I28="","",'Promenade vs Mindbody'!I28)</f>
        <v>Not listed in Mindbody Promenade</v>
      </c>
    </row>
    <row r="16" customFormat="false" ht="15" hidden="false" customHeight="false" outlineLevel="0" collapsed="false">
      <c r="A16" s="2" t="str">
        <f aca="false">IF('Promenade vs Mindbody'!H29="","",'Promenade vs Mindbody'!H29)</f>
        <v>Not in Mindbody</v>
      </c>
      <c r="B16" s="2" t="str">
        <f aca="false">IF('Promenade vs Mindbody'!A29="","",'Promenade vs Mindbody'!A29)</f>
        <v>(no Mindbody product)</v>
      </c>
      <c r="C16" s="2" t="str">
        <f aca="false">IF('Promenade vs Mindbody'!B29="","",'Promenade vs Mindbody'!B29)</f>
        <v/>
      </c>
      <c r="D16" s="2" t="str">
        <f aca="false">IF('Promenade vs Mindbody'!C29="","",'Promenade vs Mindbody'!C29)</f>
        <v>White T-shirt (Elite) - From Argan (Old)</v>
      </c>
      <c r="E16" s="4" t="str">
        <f aca="false">IF('Promenade vs Mindbody'!D29="","",'Promenade vs Mindbody'!D29)</f>
        <v>3/4</v>
      </c>
      <c r="F16" s="4" t="n">
        <f aca="false">IF('Promenade vs Mindbody'!E29="","",'Promenade vs Mindbody'!E29)</f>
        <v>2</v>
      </c>
      <c r="G16" s="4" t="str">
        <f aca="false">IF('Promenade vs Mindbody'!F29="","",'Promenade vs Mindbody'!F29)</f>
        <v/>
      </c>
      <c r="H16" s="4" t="str">
        <f aca="false">IF('Promenade vs Mindbody'!G29="","",'Promenade vs Mindbody'!G29)</f>
        <v/>
      </c>
      <c r="I16" s="10" t="str">
        <f aca="false">IF('Promenade vs Mindbody'!I29="","",'Promenade vs Mindbody'!I29)</f>
        <v>Not listed in Mindbody Promenade</v>
      </c>
    </row>
    <row r="17" customFormat="false" ht="15" hidden="false" customHeight="false" outlineLevel="0" collapsed="false">
      <c r="A17" s="2" t="str">
        <f aca="false">IF('Promenade vs Mindbody'!H30="","",'Promenade vs Mindbody'!H30)</f>
        <v>Not in Mindbody</v>
      </c>
      <c r="B17" s="2" t="str">
        <f aca="false">IF('Promenade vs Mindbody'!A30="","",'Promenade vs Mindbody'!A30)</f>
        <v>(no Mindbody product)</v>
      </c>
      <c r="C17" s="2" t="str">
        <f aca="false">IF('Promenade vs Mindbody'!B30="","",'Promenade vs Mindbody'!B30)</f>
        <v/>
      </c>
      <c r="D17" s="2" t="str">
        <f aca="false">IF('Promenade vs Mindbody'!C30="","",'Promenade vs Mindbody'!C30)</f>
        <v>Instructor T-shirt (Elite Logo)</v>
      </c>
      <c r="E17" s="4" t="str">
        <f aca="false">IF('Promenade vs Mindbody'!D30="","",'Promenade vs Mindbody'!D30)</f>
        <v>L</v>
      </c>
      <c r="F17" s="4" t="n">
        <f aca="false">IF('Promenade vs Mindbody'!E30="","",'Promenade vs Mindbody'!E30)</f>
        <v>1</v>
      </c>
      <c r="G17" s="4" t="str">
        <f aca="false">IF('Promenade vs Mindbody'!F30="","",'Promenade vs Mindbody'!F30)</f>
        <v/>
      </c>
      <c r="H17" s="4" t="str">
        <f aca="false">IF('Promenade vs Mindbody'!G30="","",'Promenade vs Mindbody'!G30)</f>
        <v/>
      </c>
      <c r="I17" s="10" t="str">
        <f aca="false">IF('Promenade vs Mindbody'!I30="","",'Promenade vs Mindbody'!I30)</f>
        <v>Instructor Shirt exists in Bedaya Mindbody, not set up at Promenade</v>
      </c>
    </row>
    <row r="18" customFormat="false" ht="15" hidden="false" customHeight="false" outlineLevel="0" collapsed="false">
      <c r="A18" s="2" t="str">
        <f aca="false">IF('Promenade vs Mindbody'!H31="","",'Promenade vs Mindbody'!H31)</f>
        <v>Not in Mindbody</v>
      </c>
      <c r="B18" s="2" t="str">
        <f aca="false">IF('Promenade vs Mindbody'!A31="","",'Promenade vs Mindbody'!A31)</f>
        <v>(no Mindbody product)</v>
      </c>
      <c r="C18" s="2" t="str">
        <f aca="false">IF('Promenade vs Mindbody'!B31="","",'Promenade vs Mindbody'!B31)</f>
        <v/>
      </c>
      <c r="D18" s="2" t="str">
        <f aca="false">IF('Promenade vs Mindbody'!C31="","",'Promenade vs Mindbody'!C31)</f>
        <v>Elite T-shirt (Gray)</v>
      </c>
      <c r="E18" s="4" t="str">
        <f aca="false">IF('Promenade vs Mindbody'!D31="","",'Promenade vs Mindbody'!D31)</f>
        <v>L</v>
      </c>
      <c r="F18" s="4" t="n">
        <f aca="false">IF('Promenade vs Mindbody'!E31="","",'Promenade vs Mindbody'!E31)</f>
        <v>2</v>
      </c>
      <c r="G18" s="4" t="str">
        <f aca="false">IF('Promenade vs Mindbody'!F31="","",'Promenade vs Mindbody'!F31)</f>
        <v/>
      </c>
      <c r="H18" s="4" t="str">
        <f aca="false">IF('Promenade vs Mindbody'!G31="","",'Promenade vs Mindbody'!G31)</f>
        <v/>
      </c>
      <c r="I18" s="10" t="str">
        <f aca="false">IF('Promenade vs Mindbody'!I31="","",'Promenade vs Mindbody'!I31)</f>
        <v>Not listed in Mindbody Promenade</v>
      </c>
    </row>
    <row r="19" customFormat="false" ht="15" hidden="false" customHeight="false" outlineLevel="0" collapsed="false">
      <c r="A19" s="2" t="str">
        <f aca="false">IF('Promenade vs Mindbody'!H32="","",'Promenade vs Mindbody'!H32)</f>
        <v>Not in Mindbody</v>
      </c>
      <c r="B19" s="2" t="str">
        <f aca="false">IF('Promenade vs Mindbody'!A32="","",'Promenade vs Mindbody'!A32)</f>
        <v>(no Mindbody product)</v>
      </c>
      <c r="C19" s="2" t="str">
        <f aca="false">IF('Promenade vs Mindbody'!B32="","",'Promenade vs Mindbody'!B32)</f>
        <v/>
      </c>
      <c r="D19" s="2" t="str">
        <f aca="false">IF('Promenade vs Mindbody'!C32="","",'Promenade vs Mindbody'!C32)</f>
        <v>Elite T-shirt (Gray)</v>
      </c>
      <c r="E19" s="4" t="str">
        <f aca="false">IF('Promenade vs Mindbody'!D32="","",'Promenade vs Mindbody'!D32)</f>
        <v>M</v>
      </c>
      <c r="F19" s="4" t="n">
        <f aca="false">IF('Promenade vs Mindbody'!E32="","",'Promenade vs Mindbody'!E32)</f>
        <v>2</v>
      </c>
      <c r="G19" s="4" t="str">
        <f aca="false">IF('Promenade vs Mindbody'!F32="","",'Promenade vs Mindbody'!F32)</f>
        <v/>
      </c>
      <c r="H19" s="4" t="str">
        <f aca="false">IF('Promenade vs Mindbody'!G32="","",'Promenade vs Mindbody'!G32)</f>
        <v/>
      </c>
      <c r="I19" s="10" t="str">
        <f aca="false">IF('Promenade vs Mindbody'!I32="","",'Promenade vs Mindbody'!I32)</f>
        <v>Not listed in Mindbody Promenade</v>
      </c>
    </row>
    <row r="20" customFormat="false" ht="15" hidden="false" customHeight="false" outlineLevel="0" collapsed="false">
      <c r="A20" s="2" t="str">
        <f aca="false">IF('Promenade vs Mindbody'!H33="","",'Promenade vs Mindbody'!H33)</f>
        <v>Not in Mindbody</v>
      </c>
      <c r="B20" s="2" t="str">
        <f aca="false">IF('Promenade vs Mindbody'!A33="","",'Promenade vs Mindbody'!A33)</f>
        <v>(no Mindbody product)</v>
      </c>
      <c r="C20" s="2" t="str">
        <f aca="false">IF('Promenade vs Mindbody'!B33="","",'Promenade vs Mindbody'!B33)</f>
        <v/>
      </c>
      <c r="D20" s="2" t="str">
        <f aca="false">IF('Promenade vs Mindbody'!C33="","",'Promenade vs Mindbody'!C33)</f>
        <v>Students' Elite T-shirt (White)</v>
      </c>
      <c r="E20" s="4" t="str">
        <f aca="false">IF('Promenade vs Mindbody'!D33="","",'Promenade vs Mindbody'!D33)</f>
        <v>M</v>
      </c>
      <c r="F20" s="4" t="n">
        <f aca="false">IF('Promenade vs Mindbody'!E33="","",'Promenade vs Mindbody'!E33)</f>
        <v>1</v>
      </c>
      <c r="G20" s="4" t="str">
        <f aca="false">IF('Promenade vs Mindbody'!F33="","",'Promenade vs Mindbody'!F33)</f>
        <v/>
      </c>
      <c r="H20" s="4" t="str">
        <f aca="false">IF('Promenade vs Mindbody'!G33="","",'Promenade vs Mindbody'!G33)</f>
        <v/>
      </c>
      <c r="I20" s="10" t="str">
        <f aca="false">IF('Promenade vs Mindbody'!I33="","",'Promenade vs Mindbody'!I33)</f>
        <v>Mindbody Promenade has only kids' Elite Shirt sizes (3-4 to 11-12)</v>
      </c>
    </row>
    <row r="21" customFormat="false" ht="15" hidden="false" customHeight="false" outlineLevel="0" collapsed="false">
      <c r="A21" s="2" t="str">
        <f aca="false">IF('Promenade vs Mindbody'!H34="","",'Promenade vs Mindbody'!H34)</f>
        <v>Not in Mindbody</v>
      </c>
      <c r="B21" s="2" t="str">
        <f aca="false">IF('Promenade vs Mindbody'!A34="","",'Promenade vs Mindbody'!A34)</f>
        <v>(no Mindbody product)</v>
      </c>
      <c r="C21" s="2" t="str">
        <f aca="false">IF('Promenade vs Mindbody'!B34="","",'Promenade vs Mindbody'!B34)</f>
        <v/>
      </c>
      <c r="D21" s="2" t="str">
        <f aca="false">IF('Promenade vs Mindbody'!C34="","",'Promenade vs Mindbody'!C34)</f>
        <v>Short Pants (Black)</v>
      </c>
      <c r="E21" s="4" t="str">
        <f aca="false">IF('Promenade vs Mindbody'!D34="","",'Promenade vs Mindbody'!D34)</f>
        <v>-</v>
      </c>
      <c r="F21" s="4" t="n">
        <f aca="false">IF('Promenade vs Mindbody'!E34="","",'Promenade vs Mindbody'!E34)</f>
        <v>1</v>
      </c>
      <c r="G21" s="4" t="str">
        <f aca="false">IF('Promenade vs Mindbody'!F34="","",'Promenade vs Mindbody'!F34)</f>
        <v/>
      </c>
      <c r="H21" s="4" t="str">
        <f aca="false">IF('Promenade vs Mindbody'!G34="","",'Promenade vs Mindbody'!G34)</f>
        <v/>
      </c>
      <c r="I21" s="10" t="str">
        <f aca="false">IF('Promenade vs Mindbody'!I34="","",'Promenade vs Mindbody'!I34)</f>
        <v>Not listed in Mindbody Promenade</v>
      </c>
    </row>
    <row r="22" customFormat="false" ht="15" hidden="false" customHeight="false" outlineLevel="0" collapsed="false">
      <c r="A22" s="2" t="str">
        <f aca="false">IF('Promenade vs Mindbody'!H35="","",'Promenade vs Mindbody'!H35)</f>
        <v>Not in Mindbody</v>
      </c>
      <c r="B22" s="2" t="str">
        <f aca="false">IF('Promenade vs Mindbody'!A35="","",'Promenade vs Mindbody'!A35)</f>
        <v>(no Mindbody product)</v>
      </c>
      <c r="C22" s="2" t="str">
        <f aca="false">IF('Promenade vs Mindbody'!B35="","",'Promenade vs Mindbody'!B35)</f>
        <v/>
      </c>
      <c r="D22" s="2" t="str">
        <f aca="false">IF('Promenade vs Mindbody'!C35="","",'Promenade vs Mindbody'!C35)</f>
        <v>Headguard (Elite Logo)</v>
      </c>
      <c r="E22" s="4" t="str">
        <f aca="false">IF('Promenade vs Mindbody'!D35="","",'Promenade vs Mindbody'!D35)</f>
        <v>-</v>
      </c>
      <c r="F22" s="4" t="n">
        <f aca="false">IF('Promenade vs Mindbody'!E35="","",'Promenade vs Mindbody'!E35)</f>
        <v>1</v>
      </c>
      <c r="G22" s="4" t="str">
        <f aca="false">IF('Promenade vs Mindbody'!F35="","",'Promenade vs Mindbody'!F35)</f>
        <v/>
      </c>
      <c r="H22" s="4" t="str">
        <f aca="false">IF('Promenade vs Mindbody'!G35="","",'Promenade vs Mindbody'!G35)</f>
        <v/>
      </c>
      <c r="I22" s="10" t="str">
        <f aca="false">IF('Promenade vs Mindbody'!I35="","",'Promenade vs Mindbody'!I35)</f>
        <v>Not listed in Mindbody Promenade</v>
      </c>
    </row>
    <row r="23" customFormat="false" ht="15" hidden="false" customHeight="false" outlineLevel="0" collapsed="false">
      <c r="A23" s="2" t="str">
        <f aca="false">IF('Promenade vs Mindbody'!H36="","",'Promenade vs Mindbody'!H36)</f>
        <v>Not in Mindbody</v>
      </c>
      <c r="B23" s="2" t="str">
        <f aca="false">IF('Promenade vs Mindbody'!A36="","",'Promenade vs Mindbody'!A36)</f>
        <v>(no Mindbody product)</v>
      </c>
      <c r="C23" s="2" t="str">
        <f aca="false">IF('Promenade vs Mindbody'!B36="","",'Promenade vs Mindbody'!B36)</f>
        <v/>
      </c>
      <c r="D23" s="2" t="str">
        <f aca="false">IF('Promenade vs Mindbody'!C36="","",'Promenade vs Mindbody'!C36)</f>
        <v>Boxing Gloves (Elite Logo)</v>
      </c>
      <c r="E23" s="4" t="str">
        <f aca="false">IF('Promenade vs Mindbody'!D36="","",'Promenade vs Mindbody'!D36)</f>
        <v>10oz</v>
      </c>
      <c r="F23" s="4" t="n">
        <f aca="false">IF('Promenade vs Mindbody'!E36="","",'Promenade vs Mindbody'!E36)</f>
        <v>3</v>
      </c>
      <c r="G23" s="4" t="str">
        <f aca="false">IF('Promenade vs Mindbody'!F36="","",'Promenade vs Mindbody'!F36)</f>
        <v/>
      </c>
      <c r="H23" s="4" t="str">
        <f aca="false">IF('Promenade vs Mindbody'!G36="","",'Promenade vs Mindbody'!G36)</f>
        <v/>
      </c>
      <c r="I23" s="10" t="str">
        <f aca="false">IF('Promenade vs Mindbody'!I36="","",'Promenade vs Mindbody'!I36)</f>
        <v>Not listed in Mindbody Promenade</v>
      </c>
    </row>
    <row r="24" customFormat="false" ht="15" hidden="false" customHeight="false" outlineLevel="0" collapsed="false">
      <c r="A24" s="2" t="str">
        <f aca="false">IF('Promenade vs Mindbody'!H37="","",'Promenade vs Mindbody'!H37)</f>
        <v>Not in Mindbody</v>
      </c>
      <c r="B24" s="2" t="str">
        <f aca="false">IF('Promenade vs Mindbody'!A37="","",'Promenade vs Mindbody'!A37)</f>
        <v>(no Mindbody product)</v>
      </c>
      <c r="C24" s="2" t="str">
        <f aca="false">IF('Promenade vs Mindbody'!B37="","",'Promenade vs Mindbody'!B37)</f>
        <v/>
      </c>
      <c r="D24" s="2" t="str">
        <f aca="false">IF('Promenade vs Mindbody'!C37="","",'Promenade vs Mindbody'!C37)</f>
        <v>Boxing Gloves (Elite Logo)</v>
      </c>
      <c r="E24" s="4" t="str">
        <f aca="false">IF('Promenade vs Mindbody'!D37="","",'Promenade vs Mindbody'!D37)</f>
        <v>8oz</v>
      </c>
      <c r="F24" s="4" t="n">
        <f aca="false">IF('Promenade vs Mindbody'!E37="","",'Promenade vs Mindbody'!E37)</f>
        <v>1</v>
      </c>
      <c r="G24" s="4" t="str">
        <f aca="false">IF('Promenade vs Mindbody'!F37="","",'Promenade vs Mindbody'!F37)</f>
        <v/>
      </c>
      <c r="H24" s="4" t="str">
        <f aca="false">IF('Promenade vs Mindbody'!G37="","",'Promenade vs Mindbody'!G37)</f>
        <v/>
      </c>
      <c r="I24" s="10" t="str">
        <f aca="false">IF('Promenade vs Mindbody'!I37="","",'Promenade vs Mindbody'!I37)</f>
        <v>Not listed in Mindbody Promenade</v>
      </c>
    </row>
    <row r="25" customFormat="false" ht="15" hidden="false" customHeight="false" outlineLevel="0" collapsed="false">
      <c r="A25" s="2" t="str">
        <f aca="false">IF('Promenade vs Mindbody'!H38="","",'Promenade vs Mindbody'!H38)</f>
        <v>Not in Mindbody</v>
      </c>
      <c r="B25" s="2" t="str">
        <f aca="false">IF('Promenade vs Mindbody'!A38="","",'Promenade vs Mindbody'!A38)</f>
        <v>(no Mindbody product)</v>
      </c>
      <c r="C25" s="2" t="str">
        <f aca="false">IF('Promenade vs Mindbody'!B38="","",'Promenade vs Mindbody'!B38)</f>
        <v/>
      </c>
      <c r="D25" s="2" t="str">
        <f aca="false">IF('Promenade vs Mindbody'!C38="","",'Promenade vs Mindbody'!C38)</f>
        <v>MMA Gloves (Elite Logo)</v>
      </c>
      <c r="E25" s="4" t="str">
        <f aca="false">IF('Promenade vs Mindbody'!D38="","",'Promenade vs Mindbody'!D38)</f>
        <v>L</v>
      </c>
      <c r="F25" s="4" t="n">
        <f aca="false">IF('Promenade vs Mindbody'!E38="","",'Promenade vs Mindbody'!E38)</f>
        <v>3</v>
      </c>
      <c r="G25" s="4" t="str">
        <f aca="false">IF('Promenade vs Mindbody'!F38="","",'Promenade vs Mindbody'!F38)</f>
        <v/>
      </c>
      <c r="H25" s="4" t="str">
        <f aca="false">IF('Promenade vs Mindbody'!G38="","",'Promenade vs Mindbody'!G38)</f>
        <v/>
      </c>
      <c r="I25" s="10" t="str">
        <f aca="false">IF('Promenade vs Mindbody'!I38="","",'Promenade vs Mindbody'!I38)</f>
        <v>Not listed in Mindbody Promenade</v>
      </c>
    </row>
    <row r="26" customFormat="false" ht="15" hidden="false" customHeight="false" outlineLevel="0" collapsed="false">
      <c r="A26" s="2" t="str">
        <f aca="false">IF('Promenade vs Mindbody'!H39="","",'Promenade vs Mindbody'!H39)</f>
        <v>Not in Mindbody</v>
      </c>
      <c r="B26" s="2" t="str">
        <f aca="false">IF('Promenade vs Mindbody'!A39="","",'Promenade vs Mindbody'!A39)</f>
        <v>(no Mindbody product)</v>
      </c>
      <c r="C26" s="2" t="str">
        <f aca="false">IF('Promenade vs Mindbody'!B39="","",'Promenade vs Mindbody'!B39)</f>
        <v/>
      </c>
      <c r="D26" s="2" t="str">
        <f aca="false">IF('Promenade vs Mindbody'!C39="","",'Promenade vs Mindbody'!C39)</f>
        <v>Gloves (Elite Logo) - Old</v>
      </c>
      <c r="E26" s="4" t="str">
        <f aca="false">IF('Promenade vs Mindbody'!D39="","",'Promenade vs Mindbody'!D39)</f>
        <v>M</v>
      </c>
      <c r="F26" s="4" t="n">
        <f aca="false">IF('Promenade vs Mindbody'!E39="","",'Promenade vs Mindbody'!E39)</f>
        <v>23</v>
      </c>
      <c r="G26" s="4" t="str">
        <f aca="false">IF('Promenade vs Mindbody'!F39="","",'Promenade vs Mindbody'!F39)</f>
        <v/>
      </c>
      <c r="H26" s="4" t="str">
        <f aca="false">IF('Promenade vs Mindbody'!G39="","",'Promenade vs Mindbody'!G39)</f>
        <v/>
      </c>
      <c r="I26" s="10" t="str">
        <f aca="false">IF('Promenade vs Mindbody'!I39="","",'Promenade vs Mindbody'!I39)</f>
        <v>Not listed in Mindbody Promenade</v>
      </c>
    </row>
    <row r="27" customFormat="false" ht="15" hidden="false" customHeight="false" outlineLevel="0" collapsed="false">
      <c r="A27" s="2" t="str">
        <f aca="false">IF('Promenade vs Mindbody'!H42="","",'Promenade vs Mindbody'!H42)</f>
        <v>Not in Mindbody</v>
      </c>
      <c r="B27" s="2" t="str">
        <f aca="false">IF('Promenade vs Mindbody'!A42="","",'Promenade vs Mindbody'!A42)</f>
        <v>(no Mindbody product)</v>
      </c>
      <c r="C27" s="2" t="str">
        <f aca="false">IF('Promenade vs Mindbody'!B42="","",'Promenade vs Mindbody'!B42)</f>
        <v/>
      </c>
      <c r="D27" s="2" t="str">
        <f aca="false">IF('Promenade vs Mindbody'!C42="","",'Promenade vs Mindbody'!C42)</f>
        <v>Shin Guard (Elite Logo) - Old</v>
      </c>
      <c r="E27" s="4" t="str">
        <f aca="false">IF('Promenade vs Mindbody'!D42="","",'Promenade vs Mindbody'!D42)</f>
        <v>L</v>
      </c>
      <c r="F27" s="4" t="n">
        <f aca="false">IF('Promenade vs Mindbody'!E42="","",'Promenade vs Mindbody'!E42)</f>
        <v>3</v>
      </c>
      <c r="G27" s="4" t="str">
        <f aca="false">IF('Promenade vs Mindbody'!F42="","",'Promenade vs Mindbody'!F42)</f>
        <v/>
      </c>
      <c r="H27" s="4" t="str">
        <f aca="false">IF('Promenade vs Mindbody'!G42="","",'Promenade vs Mindbody'!G42)</f>
        <v/>
      </c>
      <c r="I27" s="10" t="str">
        <f aca="false">IF('Promenade vs Mindbody'!I42="","",'Promenade vs Mindbody'!I42)</f>
        <v>Not listed in Mindbody Promenade</v>
      </c>
    </row>
    <row r="28" customFormat="false" ht="15" hidden="false" customHeight="false" outlineLevel="0" collapsed="false">
      <c r="A28" s="2" t="str">
        <f aca="false">IF('Promenade vs Mindbody'!H43="","",'Promenade vs Mindbody'!H43)</f>
        <v>Not in Mindbody</v>
      </c>
      <c r="B28" s="2" t="str">
        <f aca="false">IF('Promenade vs Mindbody'!A43="","",'Promenade vs Mindbody'!A43)</f>
        <v>(no Mindbody product)</v>
      </c>
      <c r="C28" s="2" t="str">
        <f aca="false">IF('Promenade vs Mindbody'!B43="","",'Promenade vs Mindbody'!B43)</f>
        <v/>
      </c>
      <c r="D28" s="2" t="str">
        <f aca="false">IF('Promenade vs Mindbody'!C43="","",'Promenade vs Mindbody'!C43)</f>
        <v>Jiu Jitsu Uniform (Elite Logo)</v>
      </c>
      <c r="E28" s="4" t="str">
        <f aca="false">IF('Promenade vs Mindbody'!D43="","",'Promenade vs Mindbody'!D43)</f>
        <v>A3 - Black</v>
      </c>
      <c r="F28" s="4" t="n">
        <f aca="false">IF('Promenade vs Mindbody'!E43="","",'Promenade vs Mindbody'!E43)</f>
        <v>1</v>
      </c>
      <c r="G28" s="4" t="str">
        <f aca="false">IF('Promenade vs Mindbody'!F43="","",'Promenade vs Mindbody'!F43)</f>
        <v/>
      </c>
      <c r="H28" s="4" t="str">
        <f aca="false">IF('Promenade vs Mindbody'!G43="","",'Promenade vs Mindbody'!G43)</f>
        <v/>
      </c>
      <c r="I28" s="10" t="str">
        <f aca="false">IF('Promenade vs Mindbody'!I43="","",'Promenade vs Mindbody'!I43)</f>
        <v>Jiu Jitsu Uniforms exist in Bedaya Mindbody, not set up at Promenade</v>
      </c>
    </row>
    <row r="29" customFormat="false" ht="15" hidden="false" customHeight="false" outlineLevel="0" collapsed="false">
      <c r="A29" s="2" t="str">
        <f aca="false">IF('Promenade vs Mindbody'!H44="","",'Promenade vs Mindbody'!H44)</f>
        <v>Not in Mindbody</v>
      </c>
      <c r="B29" s="2" t="str">
        <f aca="false">IF('Promenade vs Mindbody'!A44="","",'Promenade vs Mindbody'!A44)</f>
        <v>(no Mindbody product)</v>
      </c>
      <c r="C29" s="2" t="str">
        <f aca="false">IF('Promenade vs Mindbody'!B44="","",'Promenade vs Mindbody'!B44)</f>
        <v/>
      </c>
      <c r="D29" s="2" t="str">
        <f aca="false">IF('Promenade vs Mindbody'!C44="","",'Promenade vs Mindbody'!C44)</f>
        <v>Jiu Jitsu Uniform (Elite Logo)</v>
      </c>
      <c r="E29" s="4" t="str">
        <f aca="false">IF('Promenade vs Mindbody'!D44="","",'Promenade vs Mindbody'!D44)</f>
        <v>3/180 - Gray</v>
      </c>
      <c r="F29" s="4" t="n">
        <f aca="false">IF('Promenade vs Mindbody'!E44="","",'Promenade vs Mindbody'!E44)</f>
        <v>1</v>
      </c>
      <c r="G29" s="4" t="str">
        <f aca="false">IF('Promenade vs Mindbody'!F44="","",'Promenade vs Mindbody'!F44)</f>
        <v/>
      </c>
      <c r="H29" s="4" t="str">
        <f aca="false">IF('Promenade vs Mindbody'!G44="","",'Promenade vs Mindbody'!G44)</f>
        <v/>
      </c>
      <c r="I29" s="10" t="str">
        <f aca="false">IF('Promenade vs Mindbody'!I44="","",'Promenade vs Mindbody'!I44)</f>
        <v>Jiu Jitsu Uniforms exist in Bedaya Mindbody, not set up at Promenade</v>
      </c>
    </row>
    <row r="30" customFormat="false" ht="15" hidden="false" customHeight="false" outlineLevel="0" collapsed="false">
      <c r="A30" s="2" t="str">
        <f aca="false">IF('Promenade vs Mindbody'!H45="","",'Promenade vs Mindbody'!H45)</f>
        <v>Not in Mindbody</v>
      </c>
      <c r="B30" s="2" t="str">
        <f aca="false">IF('Promenade vs Mindbody'!A45="","",'Promenade vs Mindbody'!A45)</f>
        <v>(no Mindbody product)</v>
      </c>
      <c r="C30" s="2" t="str">
        <f aca="false">IF('Promenade vs Mindbody'!B45="","",'Promenade vs Mindbody'!B45)</f>
        <v/>
      </c>
      <c r="D30" s="2" t="str">
        <f aca="false">IF('Promenade vs Mindbody'!C45="","",'Promenade vs Mindbody'!C45)</f>
        <v>Jiu Jitsu Uniform (Elite Logo)</v>
      </c>
      <c r="E30" s="4" t="str">
        <f aca="false">IF('Promenade vs Mindbody'!D45="","",'Promenade vs Mindbody'!D45)</f>
        <v>A3 - Gray/Blue</v>
      </c>
      <c r="F30" s="4" t="n">
        <f aca="false">IF('Promenade vs Mindbody'!E45="","",'Promenade vs Mindbody'!E45)</f>
        <v>1</v>
      </c>
      <c r="G30" s="4" t="str">
        <f aca="false">IF('Promenade vs Mindbody'!F45="","",'Promenade vs Mindbody'!F45)</f>
        <v/>
      </c>
      <c r="H30" s="4" t="str">
        <f aca="false">IF('Promenade vs Mindbody'!G45="","",'Promenade vs Mindbody'!G45)</f>
        <v/>
      </c>
      <c r="I30" s="10" t="str">
        <f aca="false">IF('Promenade vs Mindbody'!I45="","",'Promenade vs Mindbody'!I45)</f>
        <v>Jiu Jitsu Uniforms exist in Bedaya Mindbody, not set up at Promenade</v>
      </c>
    </row>
    <row r="31" customFormat="false" ht="15" hidden="false" customHeight="false" outlineLevel="0" collapsed="false">
      <c r="A31" s="2" t="str">
        <f aca="false">IF('Promenade vs Mindbody'!H46="","",'Promenade vs Mindbody'!H46)</f>
        <v>Not in Mindbody</v>
      </c>
      <c r="B31" s="2" t="str">
        <f aca="false">IF('Promenade vs Mindbody'!A46="","",'Promenade vs Mindbody'!A46)</f>
        <v>(no Mindbody product)</v>
      </c>
      <c r="C31" s="2" t="str">
        <f aca="false">IF('Promenade vs Mindbody'!B46="","",'Promenade vs Mindbody'!B46)</f>
        <v/>
      </c>
      <c r="D31" s="2" t="str">
        <f aca="false">IF('Promenade vs Mindbody'!C46="","",'Promenade vs Mindbody'!C46)</f>
        <v>Systema T-shirt (Black)</v>
      </c>
      <c r="E31" s="4" t="str">
        <f aca="false">IF('Promenade vs Mindbody'!D46="","",'Promenade vs Mindbody'!D46)</f>
        <v>L</v>
      </c>
      <c r="F31" s="4" t="n">
        <f aca="false">IF('Promenade vs Mindbody'!E46="","",'Promenade vs Mindbody'!E46)</f>
        <v>5</v>
      </c>
      <c r="G31" s="4" t="str">
        <f aca="false">IF('Promenade vs Mindbody'!F46="","",'Promenade vs Mindbody'!F46)</f>
        <v/>
      </c>
      <c r="H31" s="4" t="str">
        <f aca="false">IF('Promenade vs Mindbody'!G46="","",'Promenade vs Mindbody'!G46)</f>
        <v/>
      </c>
      <c r="I31" s="10" t="str">
        <f aca="false">IF('Promenade vs Mindbody'!I46="","",'Promenade vs Mindbody'!I46)</f>
        <v>Systema Shirt exists in Bedaya Mindbody, not set up at Promenade</v>
      </c>
    </row>
    <row r="32" customFormat="false" ht="15" hidden="false" customHeight="false" outlineLevel="0" collapsed="false">
      <c r="A32" s="2" t="str">
        <f aca="false">IF('Promenade vs Mindbody'!H47="","",'Promenade vs Mindbody'!H47)</f>
        <v>Not in Mindbody</v>
      </c>
      <c r="B32" s="2" t="str">
        <f aca="false">IF('Promenade vs Mindbody'!A47="","",'Promenade vs Mindbody'!A47)</f>
        <v>(no Mindbody product)</v>
      </c>
      <c r="C32" s="2" t="str">
        <f aca="false">IF('Promenade vs Mindbody'!B47="","",'Promenade vs Mindbody'!B47)</f>
        <v/>
      </c>
      <c r="D32" s="2" t="str">
        <f aca="false">IF('Promenade vs Mindbody'!C47="","",'Promenade vs Mindbody'!C47)</f>
        <v>Systema T-shirt (Black)</v>
      </c>
      <c r="E32" s="4" t="str">
        <f aca="false">IF('Promenade vs Mindbody'!D47="","",'Promenade vs Mindbody'!D47)</f>
        <v>M</v>
      </c>
      <c r="F32" s="4" t="n">
        <f aca="false">IF('Promenade vs Mindbody'!E47="","",'Promenade vs Mindbody'!E47)</f>
        <v>2</v>
      </c>
      <c r="G32" s="4" t="str">
        <f aca="false">IF('Promenade vs Mindbody'!F47="","",'Promenade vs Mindbody'!F47)</f>
        <v/>
      </c>
      <c r="H32" s="4" t="str">
        <f aca="false">IF('Promenade vs Mindbody'!G47="","",'Promenade vs Mindbody'!G47)</f>
        <v/>
      </c>
      <c r="I32" s="10" t="str">
        <f aca="false">IF('Promenade vs Mindbody'!I47="","",'Promenade vs Mindbody'!I47)</f>
        <v>Systema Shirt exists in Bedaya Mindbody, not set up at Promenade</v>
      </c>
    </row>
    <row r="33" customFormat="false" ht="15" hidden="false" customHeight="false" outlineLevel="0" collapsed="false">
      <c r="A33" s="2" t="str">
        <f aca="false">IF('Promenade vs Mindbody'!H48="","",'Promenade vs Mindbody'!H48)</f>
        <v>Not in Mindbody</v>
      </c>
      <c r="B33" s="2" t="str">
        <f aca="false">IF('Promenade vs Mindbody'!A48="","",'Promenade vs Mindbody'!A48)</f>
        <v>(no Mindbody product)</v>
      </c>
      <c r="C33" s="2" t="str">
        <f aca="false">IF('Promenade vs Mindbody'!B48="","",'Promenade vs Mindbody'!B48)</f>
        <v/>
      </c>
      <c r="D33" s="2" t="str">
        <f aca="false">IF('Promenade vs Mindbody'!C48="","",'Promenade vs Mindbody'!C48)</f>
        <v>Systema T-shirt (Black)</v>
      </c>
      <c r="E33" s="4" t="str">
        <f aca="false">IF('Promenade vs Mindbody'!D48="","",'Promenade vs Mindbody'!D48)</f>
        <v>S</v>
      </c>
      <c r="F33" s="4" t="n">
        <f aca="false">IF('Promenade vs Mindbody'!E48="","",'Promenade vs Mindbody'!E48)</f>
        <v>15</v>
      </c>
      <c r="G33" s="4" t="str">
        <f aca="false">IF('Promenade vs Mindbody'!F48="","",'Promenade vs Mindbody'!F48)</f>
        <v/>
      </c>
      <c r="H33" s="4" t="str">
        <f aca="false">IF('Promenade vs Mindbody'!G48="","",'Promenade vs Mindbody'!G48)</f>
        <v/>
      </c>
      <c r="I33" s="10" t="str">
        <f aca="false">IF('Promenade vs Mindbody'!I48="","",'Promenade vs Mindbody'!I48)</f>
        <v>Systema Shirt exists in Bedaya Mindbody, not set up at Promenade</v>
      </c>
    </row>
    <row r="34" customFormat="false" ht="15" hidden="false" customHeight="false" outlineLevel="0" collapsed="false">
      <c r="A34" s="2" t="str">
        <f aca="false">IF('Promenade vs Mindbody'!H49="","",'Promenade vs Mindbody'!H49)</f>
        <v>Not in Mindbody</v>
      </c>
      <c r="B34" s="2" t="str">
        <f aca="false">IF('Promenade vs Mindbody'!A49="","",'Promenade vs Mindbody'!A49)</f>
        <v>(no Mindbody product)</v>
      </c>
      <c r="C34" s="2" t="str">
        <f aca="false">IF('Promenade vs Mindbody'!B49="","",'Promenade vs Mindbody'!B49)</f>
        <v/>
      </c>
      <c r="D34" s="2" t="str">
        <f aca="false">IF('Promenade vs Mindbody'!C49="","",'Promenade vs Mindbody'!C49)</f>
        <v>Systema T-shirt (Black)</v>
      </c>
      <c r="E34" s="4" t="str">
        <f aca="false">IF('Promenade vs Mindbody'!D49="","",'Promenade vs Mindbody'!D49)</f>
        <v>40</v>
      </c>
      <c r="F34" s="4" t="n">
        <f aca="false">IF('Promenade vs Mindbody'!E49="","",'Promenade vs Mindbody'!E49)</f>
        <v>6</v>
      </c>
      <c r="G34" s="4" t="str">
        <f aca="false">IF('Promenade vs Mindbody'!F49="","",'Promenade vs Mindbody'!F49)</f>
        <v/>
      </c>
      <c r="H34" s="4" t="str">
        <f aca="false">IF('Promenade vs Mindbody'!G49="","",'Promenade vs Mindbody'!G49)</f>
        <v/>
      </c>
      <c r="I34" s="10" t="str">
        <f aca="false">IF('Promenade vs Mindbody'!I49="","",'Promenade vs Mindbody'!I49)</f>
        <v>Systema Shirt exists in Bedaya Mindbody, not set up at Promenade</v>
      </c>
    </row>
    <row r="35" customFormat="false" ht="15" hidden="false" customHeight="false" outlineLevel="0" collapsed="false">
      <c r="A35" s="2" t="str">
        <f aca="false">IF('Promenade vs Mindbody'!H50="","",'Promenade vs Mindbody'!H50)</f>
        <v>Not in Mindbody</v>
      </c>
      <c r="B35" s="2" t="str">
        <f aca="false">IF('Promenade vs Mindbody'!A50="","",'Promenade vs Mindbody'!A50)</f>
        <v>(no Mindbody product)</v>
      </c>
      <c r="C35" s="2" t="str">
        <f aca="false">IF('Promenade vs Mindbody'!B50="","",'Promenade vs Mindbody'!B50)</f>
        <v/>
      </c>
      <c r="D35" s="2" t="str">
        <f aca="false">IF('Promenade vs Mindbody'!C50="","",'Promenade vs Mindbody'!C50)</f>
        <v>Systema T-shirt (Black)</v>
      </c>
      <c r="E35" s="4" t="str">
        <f aca="false">IF('Promenade vs Mindbody'!D50="","",'Promenade vs Mindbody'!D50)</f>
        <v>38</v>
      </c>
      <c r="F35" s="4" t="n">
        <f aca="false">IF('Promenade vs Mindbody'!E50="","",'Promenade vs Mindbody'!E50)</f>
        <v>19</v>
      </c>
      <c r="G35" s="4" t="str">
        <f aca="false">IF('Promenade vs Mindbody'!F50="","",'Promenade vs Mindbody'!F50)</f>
        <v/>
      </c>
      <c r="H35" s="4" t="str">
        <f aca="false">IF('Promenade vs Mindbody'!G50="","",'Promenade vs Mindbody'!G50)</f>
        <v/>
      </c>
      <c r="I35" s="10" t="str">
        <f aca="false">IF('Promenade vs Mindbody'!I50="","",'Promenade vs Mindbody'!I50)</f>
        <v>Systema Shirt exists in Bedaya Mindbody, not set up at Promenade</v>
      </c>
    </row>
    <row r="36" customFormat="false" ht="15" hidden="false" customHeight="false" outlineLevel="0" collapsed="false">
      <c r="A36" s="2" t="str">
        <f aca="false">IF('Promenade vs Mindbody'!H51="","",'Promenade vs Mindbody'!H51)</f>
        <v>Not in Mindbody</v>
      </c>
      <c r="B36" s="2" t="str">
        <f aca="false">IF('Promenade vs Mindbody'!A51="","",'Promenade vs Mindbody'!A51)</f>
        <v>(no Mindbody product)</v>
      </c>
      <c r="C36" s="2" t="str">
        <f aca="false">IF('Promenade vs Mindbody'!B51="","",'Promenade vs Mindbody'!B51)</f>
        <v/>
      </c>
      <c r="D36" s="2" t="str">
        <f aca="false">IF('Promenade vs Mindbody'!C51="","",'Promenade vs Mindbody'!C51)</f>
        <v>Systema T-shirt (Black)</v>
      </c>
      <c r="E36" s="4" t="str">
        <f aca="false">IF('Promenade vs Mindbody'!D51="","",'Promenade vs Mindbody'!D51)</f>
        <v>36</v>
      </c>
      <c r="F36" s="4" t="n">
        <f aca="false">IF('Promenade vs Mindbody'!E51="","",'Promenade vs Mindbody'!E51)</f>
        <v>20</v>
      </c>
      <c r="G36" s="4" t="str">
        <f aca="false">IF('Promenade vs Mindbody'!F51="","",'Promenade vs Mindbody'!F51)</f>
        <v/>
      </c>
      <c r="H36" s="4" t="str">
        <f aca="false">IF('Promenade vs Mindbody'!G51="","",'Promenade vs Mindbody'!G51)</f>
        <v/>
      </c>
      <c r="I36" s="10" t="str">
        <f aca="false">IF('Promenade vs Mindbody'!I51="","",'Promenade vs Mindbody'!I51)</f>
        <v>Systema Shirt exists in Bedaya Mindbody, not set up at Promenade</v>
      </c>
    </row>
    <row r="37" customFormat="false" ht="15" hidden="false" customHeight="false" outlineLevel="0" collapsed="false">
      <c r="A37" s="2" t="str">
        <f aca="false">IF('Promenade vs Mindbody'!H52="","",'Promenade vs Mindbody'!H52)</f>
        <v>Not in Mindbody</v>
      </c>
      <c r="B37" s="2" t="str">
        <f aca="false">IF('Promenade vs Mindbody'!A52="","",'Promenade vs Mindbody'!A52)</f>
        <v>(no Mindbody product)</v>
      </c>
      <c r="C37" s="2" t="str">
        <f aca="false">IF('Promenade vs Mindbody'!B52="","",'Promenade vs Mindbody'!B52)</f>
        <v/>
      </c>
      <c r="D37" s="2" t="str">
        <f aca="false">IF('Promenade vs Mindbody'!C52="","",'Promenade vs Mindbody'!C52)</f>
        <v>Systema T-shirt (Gray)</v>
      </c>
      <c r="E37" s="4" t="str">
        <f aca="false">IF('Promenade vs Mindbody'!D52="","",'Promenade vs Mindbody'!D52)</f>
        <v>3XL</v>
      </c>
      <c r="F37" s="4" t="n">
        <f aca="false">IF('Promenade vs Mindbody'!E52="","",'Promenade vs Mindbody'!E52)</f>
        <v>2</v>
      </c>
      <c r="G37" s="4" t="str">
        <f aca="false">IF('Promenade vs Mindbody'!F52="","",'Promenade vs Mindbody'!F52)</f>
        <v/>
      </c>
      <c r="H37" s="4" t="str">
        <f aca="false">IF('Promenade vs Mindbody'!G52="","",'Promenade vs Mindbody'!G52)</f>
        <v/>
      </c>
      <c r="I37" s="10" t="str">
        <f aca="false">IF('Promenade vs Mindbody'!I52="","",'Promenade vs Mindbody'!I52)</f>
        <v>Systema Shirt exists in Bedaya Mindbody, not set up at Promenade</v>
      </c>
    </row>
    <row r="38" customFormat="false" ht="15" hidden="false" customHeight="false" outlineLevel="0" collapsed="false">
      <c r="A38" s="2" t="str">
        <f aca="false">IF('Promenade vs Mindbody'!H53="","",'Promenade vs Mindbody'!H53)</f>
        <v>Not in Mindbody</v>
      </c>
      <c r="B38" s="2" t="str">
        <f aca="false">IF('Promenade vs Mindbody'!A53="","",'Promenade vs Mindbody'!A53)</f>
        <v>(no Mindbody product)</v>
      </c>
      <c r="C38" s="2" t="str">
        <f aca="false">IF('Promenade vs Mindbody'!B53="","",'Promenade vs Mindbody'!B53)</f>
        <v/>
      </c>
      <c r="D38" s="2" t="str">
        <f aca="false">IF('Promenade vs Mindbody'!C53="","",'Promenade vs Mindbody'!C53)</f>
        <v>Systema T-shirt (Gray)</v>
      </c>
      <c r="E38" s="4" t="str">
        <f aca="false">IF('Promenade vs Mindbody'!D53="","",'Promenade vs Mindbody'!D53)</f>
        <v>XXL</v>
      </c>
      <c r="F38" s="4" t="n">
        <f aca="false">IF('Promenade vs Mindbody'!E53="","",'Promenade vs Mindbody'!E53)</f>
        <v>3</v>
      </c>
      <c r="G38" s="4" t="str">
        <f aca="false">IF('Promenade vs Mindbody'!F53="","",'Promenade vs Mindbody'!F53)</f>
        <v/>
      </c>
      <c r="H38" s="4" t="str">
        <f aca="false">IF('Promenade vs Mindbody'!G53="","",'Promenade vs Mindbody'!G53)</f>
        <v/>
      </c>
      <c r="I38" s="10" t="str">
        <f aca="false">IF('Promenade vs Mindbody'!I53="","",'Promenade vs Mindbody'!I53)</f>
        <v>Systema Shirt exists in Bedaya Mindbody, not set up at Promenade</v>
      </c>
    </row>
    <row r="39" customFormat="false" ht="15" hidden="false" customHeight="false" outlineLevel="0" collapsed="false">
      <c r="A39" s="2" t="str">
        <f aca="false">IF('Promenade vs Mindbody'!H54="","",'Promenade vs Mindbody'!H54)</f>
        <v>Not in Mindbody</v>
      </c>
      <c r="B39" s="2" t="str">
        <f aca="false">IF('Promenade vs Mindbody'!A54="","",'Promenade vs Mindbody'!A54)</f>
        <v>(no Mindbody product)</v>
      </c>
      <c r="C39" s="2" t="str">
        <f aca="false">IF('Promenade vs Mindbody'!B54="","",'Promenade vs Mindbody'!B54)</f>
        <v/>
      </c>
      <c r="D39" s="2" t="str">
        <f aca="false">IF('Promenade vs Mindbody'!C54="","",'Promenade vs Mindbody'!C54)</f>
        <v>Systema T-shirt (Gray)</v>
      </c>
      <c r="E39" s="4" t="str">
        <f aca="false">IF('Promenade vs Mindbody'!D54="","",'Promenade vs Mindbody'!D54)</f>
        <v>XL</v>
      </c>
      <c r="F39" s="4" t="n">
        <f aca="false">IF('Promenade vs Mindbody'!E54="","",'Promenade vs Mindbody'!E54)</f>
        <v>8</v>
      </c>
      <c r="G39" s="4" t="str">
        <f aca="false">IF('Promenade vs Mindbody'!F54="","",'Promenade vs Mindbody'!F54)</f>
        <v/>
      </c>
      <c r="H39" s="4" t="str">
        <f aca="false">IF('Promenade vs Mindbody'!G54="","",'Promenade vs Mindbody'!G54)</f>
        <v/>
      </c>
      <c r="I39" s="10" t="str">
        <f aca="false">IF('Promenade vs Mindbody'!I54="","",'Promenade vs Mindbody'!I54)</f>
        <v>Systema Shirt exists in Bedaya Mindbody, not set up at Promenade</v>
      </c>
    </row>
    <row r="40" customFormat="false" ht="15" hidden="false" customHeight="false" outlineLevel="0" collapsed="false">
      <c r="A40" s="2" t="str">
        <f aca="false">IF('Promenade vs Mindbody'!H55="","",'Promenade vs Mindbody'!H55)</f>
        <v>Not in Mindbody</v>
      </c>
      <c r="B40" s="2" t="str">
        <f aca="false">IF('Promenade vs Mindbody'!A55="","",'Promenade vs Mindbody'!A55)</f>
        <v>(no Mindbody product)</v>
      </c>
      <c r="C40" s="2" t="str">
        <f aca="false">IF('Promenade vs Mindbody'!B55="","",'Promenade vs Mindbody'!B55)</f>
        <v/>
      </c>
      <c r="D40" s="2" t="str">
        <f aca="false">IF('Promenade vs Mindbody'!C55="","",'Promenade vs Mindbody'!C55)</f>
        <v>Systema T-shirt (Gray)</v>
      </c>
      <c r="E40" s="4" t="str">
        <f aca="false">IF('Promenade vs Mindbody'!D55="","",'Promenade vs Mindbody'!D55)</f>
        <v>L</v>
      </c>
      <c r="F40" s="4" t="n">
        <f aca="false">IF('Promenade vs Mindbody'!E55="","",'Promenade vs Mindbody'!E55)</f>
        <v>2</v>
      </c>
      <c r="G40" s="4" t="str">
        <f aca="false">IF('Promenade vs Mindbody'!F55="","",'Promenade vs Mindbody'!F55)</f>
        <v/>
      </c>
      <c r="H40" s="4" t="str">
        <f aca="false">IF('Promenade vs Mindbody'!G55="","",'Promenade vs Mindbody'!G55)</f>
        <v/>
      </c>
      <c r="I40" s="10" t="str">
        <f aca="false">IF('Promenade vs Mindbody'!I55="","",'Promenade vs Mindbody'!I55)</f>
        <v>Systema Shirt exists in Bedaya Mindbody, not set up at Promenade</v>
      </c>
    </row>
    <row r="41" customFormat="false" ht="15" hidden="false" customHeight="false" outlineLevel="0" collapsed="false">
      <c r="A41" s="2" t="str">
        <f aca="false">IF('Promenade vs Mindbody'!H56="","",'Promenade vs Mindbody'!H56)</f>
        <v>Not in Mindbody</v>
      </c>
      <c r="B41" s="2" t="str">
        <f aca="false">IF('Promenade vs Mindbody'!A56="","",'Promenade vs Mindbody'!A56)</f>
        <v>(no Mindbody product)</v>
      </c>
      <c r="C41" s="2" t="str">
        <f aca="false">IF('Promenade vs Mindbody'!B56="","",'Promenade vs Mindbody'!B56)</f>
        <v/>
      </c>
      <c r="D41" s="2" t="str">
        <f aca="false">IF('Promenade vs Mindbody'!C56="","",'Promenade vs Mindbody'!C56)</f>
        <v>Systema T-shirt (Gray)</v>
      </c>
      <c r="E41" s="4" t="str">
        <f aca="false">IF('Promenade vs Mindbody'!D56="","",'Promenade vs Mindbody'!D56)</f>
        <v>M</v>
      </c>
      <c r="F41" s="4" t="n">
        <f aca="false">IF('Promenade vs Mindbody'!E56="","",'Promenade vs Mindbody'!E56)</f>
        <v>2</v>
      </c>
      <c r="G41" s="4" t="str">
        <f aca="false">IF('Promenade vs Mindbody'!F56="","",'Promenade vs Mindbody'!F56)</f>
        <v/>
      </c>
      <c r="H41" s="4" t="str">
        <f aca="false">IF('Promenade vs Mindbody'!G56="","",'Promenade vs Mindbody'!G56)</f>
        <v/>
      </c>
      <c r="I41" s="10" t="str">
        <f aca="false">IF('Promenade vs Mindbody'!I56="","",'Promenade vs Mindbody'!I56)</f>
        <v>Systema Shirt exists in Bedaya Mindbody, not set up at Promenade</v>
      </c>
    </row>
    <row r="42" customFormat="false" ht="15" hidden="false" customHeight="false" outlineLevel="0" collapsed="false">
      <c r="A42" s="2" t="str">
        <f aca="false">IF('Promenade vs Mindbody'!H58="","",'Promenade vs Mindbody'!H58)</f>
        <v>Not in Mindbody</v>
      </c>
      <c r="B42" s="2" t="str">
        <f aca="false">IF('Promenade vs Mindbody'!A58="","",'Promenade vs Mindbody'!A58)</f>
        <v>(no Mindbody product)</v>
      </c>
      <c r="C42" s="2" t="str">
        <f aca="false">IF('Promenade vs Mindbody'!B58="","",'Promenade vs Mindbody'!B58)</f>
        <v/>
      </c>
      <c r="D42" s="2" t="str">
        <f aca="false">IF('Promenade vs Mindbody'!C58="","",'Promenade vs Mindbody'!C58)</f>
        <v>Elite T-shirt with Logo (Old)</v>
      </c>
      <c r="E42" s="4" t="str">
        <f aca="false">IF('Promenade vs Mindbody'!D58="","",'Promenade vs Mindbody'!D58)</f>
        <v>XL / Black</v>
      </c>
      <c r="F42" s="4" t="n">
        <f aca="false">IF('Promenade vs Mindbody'!E58="","",'Promenade vs Mindbody'!E58)</f>
        <v>2</v>
      </c>
      <c r="G42" s="4" t="str">
        <f aca="false">IF('Promenade vs Mindbody'!F58="","",'Promenade vs Mindbody'!F58)</f>
        <v/>
      </c>
      <c r="H42" s="4" t="str">
        <f aca="false">IF('Promenade vs Mindbody'!G58="","",'Promenade vs Mindbody'!G58)</f>
        <v/>
      </c>
      <c r="I42" s="10" t="str">
        <f aca="false">IF('Promenade vs Mindbody'!I58="","",'Promenade vs Mindbody'!I58)</f>
        <v>Not listed in Mindbody Promenade</v>
      </c>
    </row>
    <row r="43" customFormat="false" ht="15" hidden="false" customHeight="false" outlineLevel="0" collapsed="false">
      <c r="A43" s="2" t="str">
        <f aca="false">IF('Promenade vs Mindbody'!H59="","",'Promenade vs Mindbody'!H59)</f>
        <v>Not in Mindbody</v>
      </c>
      <c r="B43" s="2" t="str">
        <f aca="false">IF('Promenade vs Mindbody'!A59="","",'Promenade vs Mindbody'!A59)</f>
        <v>(no Mindbody product)</v>
      </c>
      <c r="C43" s="2" t="str">
        <f aca="false">IF('Promenade vs Mindbody'!B59="","",'Promenade vs Mindbody'!B59)</f>
        <v/>
      </c>
      <c r="D43" s="2" t="str">
        <f aca="false">IF('Promenade vs Mindbody'!C59="","",'Promenade vs Mindbody'!C59)</f>
        <v>Elite T-shirt with Logo (Old)</v>
      </c>
      <c r="E43" s="4" t="str">
        <f aca="false">IF('Promenade vs Mindbody'!D59="","",'Promenade vs Mindbody'!D59)</f>
        <v>M / Black</v>
      </c>
      <c r="F43" s="4" t="n">
        <f aca="false">IF('Promenade vs Mindbody'!E59="","",'Promenade vs Mindbody'!E59)</f>
        <v>1</v>
      </c>
      <c r="G43" s="4" t="str">
        <f aca="false">IF('Promenade vs Mindbody'!F59="","",'Promenade vs Mindbody'!F59)</f>
        <v/>
      </c>
      <c r="H43" s="4" t="str">
        <f aca="false">IF('Promenade vs Mindbody'!G59="","",'Promenade vs Mindbody'!G59)</f>
        <v/>
      </c>
      <c r="I43" s="10" t="str">
        <f aca="false">IF('Promenade vs Mindbody'!I59="","",'Promenade vs Mindbody'!I59)</f>
        <v>Not listed in Mindbody Promenade</v>
      </c>
    </row>
    <row r="44" customFormat="false" ht="15" hidden="false" customHeight="false" outlineLevel="0" collapsed="false">
      <c r="A44" s="2" t="str">
        <f aca="false">IF('Promenade vs Mindbody'!H60="","",'Promenade vs Mindbody'!H60)</f>
        <v>Not in Mindbody</v>
      </c>
      <c r="B44" s="2" t="str">
        <f aca="false">IF('Promenade vs Mindbody'!A60="","",'Promenade vs Mindbody'!A60)</f>
        <v>(no Mindbody product)</v>
      </c>
      <c r="C44" s="2" t="str">
        <f aca="false">IF('Promenade vs Mindbody'!B60="","",'Promenade vs Mindbody'!B60)</f>
        <v/>
      </c>
      <c r="D44" s="2" t="str">
        <f aca="false">IF('Promenade vs Mindbody'!C60="","",'Promenade vs Mindbody'!C60)</f>
        <v>Elite T-shirt with Logo (Old)</v>
      </c>
      <c r="E44" s="4" t="str">
        <f aca="false">IF('Promenade vs Mindbody'!D60="","",'Promenade vs Mindbody'!D60)</f>
        <v>S / Black</v>
      </c>
      <c r="F44" s="4" t="n">
        <f aca="false">IF('Promenade vs Mindbody'!E60="","",'Promenade vs Mindbody'!E60)</f>
        <v>2</v>
      </c>
      <c r="G44" s="4" t="str">
        <f aca="false">IF('Promenade vs Mindbody'!F60="","",'Promenade vs Mindbody'!F60)</f>
        <v/>
      </c>
      <c r="H44" s="4" t="str">
        <f aca="false">IF('Promenade vs Mindbody'!G60="","",'Promenade vs Mindbody'!G60)</f>
        <v/>
      </c>
      <c r="I44" s="10" t="str">
        <f aca="false">IF('Promenade vs Mindbody'!I60="","",'Promenade vs Mindbody'!I60)</f>
        <v>Not listed in Mindbody Promenade</v>
      </c>
    </row>
    <row r="45" customFormat="false" ht="15" hidden="false" customHeight="false" outlineLevel="0" collapsed="false">
      <c r="A45" s="2" t="str">
        <f aca="false">IF('Promenade vs Mindbody'!H61="","",'Promenade vs Mindbody'!H61)</f>
        <v>Not in Mindbody</v>
      </c>
      <c r="B45" s="2" t="str">
        <f aca="false">IF('Promenade vs Mindbody'!A61="","",'Promenade vs Mindbody'!A61)</f>
        <v>(no Mindbody product)</v>
      </c>
      <c r="C45" s="2" t="str">
        <f aca="false">IF('Promenade vs Mindbody'!B61="","",'Promenade vs Mindbody'!B61)</f>
        <v/>
      </c>
      <c r="D45" s="2" t="str">
        <f aca="false">IF('Promenade vs Mindbody'!C61="","",'Promenade vs Mindbody'!C61)</f>
        <v>Elite T-shirt with Logo (Old)</v>
      </c>
      <c r="E45" s="4" t="str">
        <f aca="false">IF('Promenade vs Mindbody'!D61="","",'Promenade vs Mindbody'!D61)</f>
        <v>XS / Black</v>
      </c>
      <c r="F45" s="4" t="n">
        <f aca="false">IF('Promenade vs Mindbody'!E61="","",'Promenade vs Mindbody'!E61)</f>
        <v>1</v>
      </c>
      <c r="G45" s="4" t="str">
        <f aca="false">IF('Promenade vs Mindbody'!F61="","",'Promenade vs Mindbody'!F61)</f>
        <v/>
      </c>
      <c r="H45" s="4" t="str">
        <f aca="false">IF('Promenade vs Mindbody'!G61="","",'Promenade vs Mindbody'!G61)</f>
        <v/>
      </c>
      <c r="I45" s="10" t="str">
        <f aca="false">IF('Promenade vs Mindbody'!I61="","",'Promenade vs Mindbody'!I61)</f>
        <v>Not listed in Mindbody Promenade</v>
      </c>
    </row>
    <row r="46" customFormat="false" ht="15" hidden="false" customHeight="false" outlineLevel="0" collapsed="false">
      <c r="A46" s="2" t="str">
        <f aca="false">IF('Promenade vs Mindbody'!H62="","",'Promenade vs Mindbody'!H62)</f>
        <v>Not in Mindbody</v>
      </c>
      <c r="B46" s="2" t="str">
        <f aca="false">IF('Promenade vs Mindbody'!A62="","",'Promenade vs Mindbody'!A62)</f>
        <v>(no Mindbody product)</v>
      </c>
      <c r="C46" s="2" t="str">
        <f aca="false">IF('Promenade vs Mindbody'!B62="","",'Promenade vs Mindbody'!B62)</f>
        <v/>
      </c>
      <c r="D46" s="2" t="str">
        <f aca="false">IF('Promenade vs Mindbody'!C62="","",'Promenade vs Mindbody'!C62)</f>
        <v>Elite T-shirt with Logo (Old)</v>
      </c>
      <c r="E46" s="4" t="str">
        <f aca="false">IF('Promenade vs Mindbody'!D62="","",'Promenade vs Mindbody'!D62)</f>
        <v>L / White</v>
      </c>
      <c r="F46" s="4" t="n">
        <f aca="false">IF('Promenade vs Mindbody'!E62="","",'Promenade vs Mindbody'!E62)</f>
        <v>1</v>
      </c>
      <c r="G46" s="4" t="str">
        <f aca="false">IF('Promenade vs Mindbody'!F62="","",'Promenade vs Mindbody'!F62)</f>
        <v/>
      </c>
      <c r="H46" s="4" t="str">
        <f aca="false">IF('Promenade vs Mindbody'!G62="","",'Promenade vs Mindbody'!G62)</f>
        <v/>
      </c>
      <c r="I46" s="10" t="str">
        <f aca="false">IF('Promenade vs Mindbody'!I62="","",'Promenade vs Mindbody'!I62)</f>
        <v>Not listed in Mindbody Promenade</v>
      </c>
    </row>
    <row r="47" customFormat="false" ht="15" hidden="false" customHeight="false" outlineLevel="0" collapsed="false">
      <c r="A47" s="2" t="str">
        <f aca="false">IF('Promenade vs Mindbody'!H63="","",'Promenade vs Mindbody'!H63)</f>
        <v>Not in Mindbody</v>
      </c>
      <c r="B47" s="2" t="str">
        <f aca="false">IF('Promenade vs Mindbody'!A63="","",'Promenade vs Mindbody'!A63)</f>
        <v>(no Mindbody product)</v>
      </c>
      <c r="C47" s="2" t="str">
        <f aca="false">IF('Promenade vs Mindbody'!B63="","",'Promenade vs Mindbody'!B63)</f>
        <v/>
      </c>
      <c r="D47" s="2" t="str">
        <f aca="false">IF('Promenade vs Mindbody'!C63="","",'Promenade vs Mindbody'!C63)</f>
        <v>Elite T-shirt with Logo (Old)</v>
      </c>
      <c r="E47" s="4" t="str">
        <f aca="false">IF('Promenade vs Mindbody'!D63="","",'Promenade vs Mindbody'!D63)</f>
        <v>XS / White</v>
      </c>
      <c r="F47" s="4" t="n">
        <f aca="false">IF('Promenade vs Mindbody'!E63="","",'Promenade vs Mindbody'!E63)</f>
        <v>2</v>
      </c>
      <c r="G47" s="4" t="str">
        <f aca="false">IF('Promenade vs Mindbody'!F63="","",'Promenade vs Mindbody'!F63)</f>
        <v/>
      </c>
      <c r="H47" s="4" t="str">
        <f aca="false">IF('Promenade vs Mindbody'!G63="","",'Promenade vs Mindbody'!G63)</f>
        <v/>
      </c>
      <c r="I47" s="10" t="str">
        <f aca="false">IF('Promenade vs Mindbody'!I63="","",'Promenade vs Mindbody'!I63)</f>
        <v>Not listed in Mindbody Promenade</v>
      </c>
    </row>
    <row r="48" customFormat="false" ht="15" hidden="false" customHeight="false" outlineLevel="0" collapsed="false">
      <c r="A48" s="2" t="str">
        <f aca="false">IF('Promenade vs Mindbody'!H64="","",'Promenade vs Mindbody'!H64)</f>
        <v>Not in Mindbody</v>
      </c>
      <c r="B48" s="2" t="str">
        <f aca="false">IF('Promenade vs Mindbody'!A64="","",'Promenade vs Mindbody'!A64)</f>
        <v>(no Mindbody product)</v>
      </c>
      <c r="C48" s="2" t="str">
        <f aca="false">IF('Promenade vs Mindbody'!B64="","",'Promenade vs Mindbody'!B64)</f>
        <v/>
      </c>
      <c r="D48" s="2" t="str">
        <f aca="false">IF('Promenade vs Mindbody'!C64="","",'Promenade vs Mindbody'!C64)</f>
        <v>Kajukimbo Uniform (With Logo, No Patches)</v>
      </c>
      <c r="E48" s="4" t="str">
        <f aca="false">IF('Promenade vs Mindbody'!D64="","",'Promenade vs Mindbody'!D64)</f>
        <v>110cm</v>
      </c>
      <c r="F48" s="4" t="n">
        <f aca="false">IF('Promenade vs Mindbody'!E64="","",'Promenade vs Mindbody'!E64)</f>
        <v>1</v>
      </c>
      <c r="G48" s="4" t="str">
        <f aca="false">IF('Promenade vs Mindbody'!F64="","",'Promenade vs Mindbody'!F64)</f>
        <v/>
      </c>
      <c r="H48" s="4" t="str">
        <f aca="false">IF('Promenade vs Mindbody'!G64="","",'Promenade vs Mindbody'!G64)</f>
        <v/>
      </c>
      <c r="I48" s="10" t="str">
        <f aca="false">IF('Promenade vs Mindbody'!I64="","",'Promenade vs Mindbody'!I64)</f>
        <v>Kajukenbo Uniform w/ Patches exists in Bedaya Mindbody, not set up at Promenade</v>
      </c>
    </row>
    <row r="49" customFormat="false" ht="15" hidden="false" customHeight="false" outlineLevel="0" collapsed="false">
      <c r="A49" s="2" t="str">
        <f aca="false">IF('Promenade vs Mindbody'!H65="","",'Promenade vs Mindbody'!H65)</f>
        <v>Not in Mindbody</v>
      </c>
      <c r="B49" s="2" t="str">
        <f aca="false">IF('Promenade vs Mindbody'!A65="","",'Promenade vs Mindbody'!A65)</f>
        <v>(no Mindbody product)</v>
      </c>
      <c r="C49" s="2" t="str">
        <f aca="false">IF('Promenade vs Mindbody'!B65="","",'Promenade vs Mindbody'!B65)</f>
        <v/>
      </c>
      <c r="D49" s="2" t="str">
        <f aca="false">IF('Promenade vs Mindbody'!C65="","",'Promenade vs Mindbody'!C65)</f>
        <v>Kajukimbo Uniform (With Logo, No Patches)</v>
      </c>
      <c r="E49" s="4" t="str">
        <f aca="false">IF('Promenade vs Mindbody'!D65="","",'Promenade vs Mindbody'!D65)</f>
        <v>100cm</v>
      </c>
      <c r="F49" s="4" t="n">
        <f aca="false">IF('Promenade vs Mindbody'!E65="","",'Promenade vs Mindbody'!E65)</f>
        <v>9</v>
      </c>
      <c r="G49" s="4" t="str">
        <f aca="false">IF('Promenade vs Mindbody'!F65="","",'Promenade vs Mindbody'!F65)</f>
        <v/>
      </c>
      <c r="H49" s="4" t="str">
        <f aca="false">IF('Promenade vs Mindbody'!G65="","",'Promenade vs Mindbody'!G65)</f>
        <v/>
      </c>
      <c r="I49" s="10" t="str">
        <f aca="false">IF('Promenade vs Mindbody'!I65="","",'Promenade vs Mindbody'!I65)</f>
        <v>Kajukenbo Uniform w/ Patches exists in Bedaya Mindbody, not set up at Promenade</v>
      </c>
    </row>
    <row r="50" customFormat="false" ht="15" hidden="false" customHeight="false" outlineLevel="0" collapsed="false">
      <c r="A50" s="2" t="str">
        <f aca="false">IF('Promenade vs Mindbody'!H66="","",'Promenade vs Mindbody'!H66)</f>
        <v>Not in Mindbody</v>
      </c>
      <c r="B50" s="2" t="str">
        <f aca="false">IF('Promenade vs Mindbody'!A66="","",'Promenade vs Mindbody'!A66)</f>
        <v>(no Mindbody product)</v>
      </c>
      <c r="C50" s="2" t="str">
        <f aca="false">IF('Promenade vs Mindbody'!B66="","",'Promenade vs Mindbody'!B66)</f>
        <v/>
      </c>
      <c r="D50" s="2" t="str">
        <f aca="false">IF('Promenade vs Mindbody'!C66="","",'Promenade vs Mindbody'!C66)</f>
        <v>Backpack with Elite Logo</v>
      </c>
      <c r="E50" s="4" t="str">
        <f aca="false">IF('Promenade vs Mindbody'!D66="","",'Promenade vs Mindbody'!D66)</f>
        <v>-</v>
      </c>
      <c r="F50" s="4" t="n">
        <f aca="false">IF('Promenade vs Mindbody'!E66="","",'Promenade vs Mindbody'!E66)</f>
        <v>26</v>
      </c>
      <c r="G50" s="4" t="str">
        <f aca="false">IF('Promenade vs Mindbody'!F66="","",'Promenade vs Mindbody'!F66)</f>
        <v/>
      </c>
      <c r="H50" s="4" t="str">
        <f aca="false">IF('Promenade vs Mindbody'!G66="","",'Promenade vs Mindbody'!G66)</f>
        <v/>
      </c>
      <c r="I50" s="10" t="str">
        <f aca="false">IF('Promenade vs Mindbody'!I66="","",'Promenade vs Mindbody'!I66)</f>
        <v>Elite Bag exists in Bedaya Mindbody, not set up at Promenade</v>
      </c>
    </row>
    <row r="51" customFormat="false" ht="15" hidden="false" customHeight="false" outlineLevel="0" collapsed="false">
      <c r="A51" s="2" t="str">
        <f aca="false">IF('Promenade vs Mindbody'!H67="","",'Promenade vs Mindbody'!H67)</f>
        <v>Not in Mindbody</v>
      </c>
      <c r="B51" s="2" t="str">
        <f aca="false">IF('Promenade vs Mindbody'!A67="","",'Promenade vs Mindbody'!A67)</f>
        <v>(no Mindbody product)</v>
      </c>
      <c r="C51" s="2" t="str">
        <f aca="false">IF('Promenade vs Mindbody'!B67="","",'Promenade vs Mindbody'!B67)</f>
        <v/>
      </c>
      <c r="D51" s="2" t="str">
        <f aca="false">IF('Promenade vs Mindbody'!C67="","",'Promenade vs Mindbody'!C67)</f>
        <v>Pants (Small)</v>
      </c>
      <c r="E51" s="4" t="str">
        <f aca="false">IF('Promenade vs Mindbody'!D67="","",'Promenade vs Mindbody'!D67)</f>
        <v>120cm</v>
      </c>
      <c r="F51" s="4" t="n">
        <f aca="false">IF('Promenade vs Mindbody'!E67="","",'Promenade vs Mindbody'!E67)</f>
        <v>4</v>
      </c>
      <c r="G51" s="4" t="str">
        <f aca="false">IF('Promenade vs Mindbody'!F67="","",'Promenade vs Mindbody'!F67)</f>
        <v/>
      </c>
      <c r="H51" s="4" t="str">
        <f aca="false">IF('Promenade vs Mindbody'!G67="","",'Promenade vs Mindbody'!G67)</f>
        <v/>
      </c>
      <c r="I51" s="10" t="str">
        <f aca="false">IF('Promenade vs Mindbody'!I67="","",'Promenade vs Mindbody'!I67)</f>
        <v>Not listed in Mindbody Promenade</v>
      </c>
    </row>
    <row r="52" customFormat="false" ht="15" hidden="false" customHeight="false" outlineLevel="0" collapsed="false">
      <c r="A52" s="2" t="str">
        <f aca="false">IF('Promenade vs Mindbody'!H68="","",'Promenade vs Mindbody'!H68)</f>
        <v>Not in Mindbody</v>
      </c>
      <c r="B52" s="2" t="str">
        <f aca="false">IF('Promenade vs Mindbody'!A68="","",'Promenade vs Mindbody'!A68)</f>
        <v>(no Mindbody product)</v>
      </c>
      <c r="C52" s="2" t="str">
        <f aca="false">IF('Promenade vs Mindbody'!B68="","",'Promenade vs Mindbody'!B68)</f>
        <v/>
      </c>
      <c r="D52" s="2" t="str">
        <f aca="false">IF('Promenade vs Mindbody'!C68="","",'Promenade vs Mindbody'!C68)</f>
        <v>Pants (Small)</v>
      </c>
      <c r="E52" s="4" t="str">
        <f aca="false">IF('Promenade vs Mindbody'!D68="","",'Promenade vs Mindbody'!D68)</f>
        <v>110cm</v>
      </c>
      <c r="F52" s="4" t="n">
        <f aca="false">IF('Promenade vs Mindbody'!E68="","",'Promenade vs Mindbody'!E68)</f>
        <v>22</v>
      </c>
      <c r="G52" s="4" t="str">
        <f aca="false">IF('Promenade vs Mindbody'!F68="","",'Promenade vs Mindbody'!F68)</f>
        <v/>
      </c>
      <c r="H52" s="4" t="str">
        <f aca="false">IF('Promenade vs Mindbody'!G68="","",'Promenade vs Mindbody'!G68)</f>
        <v/>
      </c>
      <c r="I52" s="10" t="str">
        <f aca="false">IF('Promenade vs Mindbody'!I68="","",'Promenade vs Mindbody'!I68)</f>
        <v>Not listed in Mindbody Promenade</v>
      </c>
    </row>
    <row r="53" customFormat="false" ht="15" hidden="false" customHeight="false" outlineLevel="0" collapsed="false">
      <c r="A53" s="2" t="str">
        <f aca="false">IF('Promenade vs Mindbody'!H69="","",'Promenade vs Mindbody'!H69)</f>
        <v>Not in Mindbody</v>
      </c>
      <c r="B53" s="2" t="str">
        <f aca="false">IF('Promenade vs Mindbody'!A69="","",'Promenade vs Mindbody'!A69)</f>
        <v>(no Mindbody product)</v>
      </c>
      <c r="C53" s="2" t="str">
        <f aca="false">IF('Promenade vs Mindbody'!B69="","",'Promenade vs Mindbody'!B69)</f>
        <v/>
      </c>
      <c r="D53" s="2" t="str">
        <f aca="false">IF('Promenade vs Mindbody'!C69="","",'Promenade vs Mindbody'!C69)</f>
        <v>Pants (Small)</v>
      </c>
      <c r="E53" s="4" t="str">
        <f aca="false">IF('Promenade vs Mindbody'!D69="","",'Promenade vs Mindbody'!D69)</f>
        <v>160cm</v>
      </c>
      <c r="F53" s="4" t="n">
        <f aca="false">IF('Promenade vs Mindbody'!E69="","",'Promenade vs Mindbody'!E69)</f>
        <v>45</v>
      </c>
      <c r="G53" s="4" t="str">
        <f aca="false">IF('Promenade vs Mindbody'!F69="","",'Promenade vs Mindbody'!F69)</f>
        <v/>
      </c>
      <c r="H53" s="4" t="str">
        <f aca="false">IF('Promenade vs Mindbody'!G69="","",'Promenade vs Mindbody'!G69)</f>
        <v/>
      </c>
      <c r="I53" s="10" t="str">
        <f aca="false">IF('Promenade vs Mindbody'!I69="","",'Promenade vs Mindbody'!I69)</f>
        <v>Not listed in Mindbody Promenade</v>
      </c>
    </row>
    <row r="54" customFormat="false" ht="15" hidden="false" customHeight="false" outlineLevel="0" collapsed="false">
      <c r="A54" s="2" t="str">
        <f aca="false">IF('Promenade vs Mindbody'!H70="","",'Promenade vs Mindbody'!H70)</f>
        <v>Not in Mindbody</v>
      </c>
      <c r="B54" s="2" t="str">
        <f aca="false">IF('Promenade vs Mindbody'!A70="","",'Promenade vs Mindbody'!A70)</f>
        <v>(no Mindbody product)</v>
      </c>
      <c r="C54" s="2" t="str">
        <f aca="false">IF('Promenade vs Mindbody'!B70="","",'Promenade vs Mindbody'!B70)</f>
        <v/>
      </c>
      <c r="D54" s="2" t="str">
        <f aca="false">IF('Promenade vs Mindbody'!C70="","",'Promenade vs Mindbody'!C70)</f>
        <v>Damaged Items (item not specified)</v>
      </c>
      <c r="E54" s="4" t="str">
        <f aca="false">IF('Promenade vs Mindbody'!D70="","",'Promenade vs Mindbody'!D70)</f>
        <v>110cm</v>
      </c>
      <c r="F54" s="4" t="n">
        <f aca="false">IF('Promenade vs Mindbody'!E70="","",'Promenade vs Mindbody'!E70)</f>
        <v>1</v>
      </c>
      <c r="G54" s="4" t="str">
        <f aca="false">IF('Promenade vs Mindbody'!F70="","",'Promenade vs Mindbody'!F70)</f>
        <v/>
      </c>
      <c r="H54" s="4" t="str">
        <f aca="false">IF('Promenade vs Mindbody'!G70="","",'Promenade vs Mindbody'!G70)</f>
        <v/>
      </c>
      <c r="I54" s="10" t="str">
        <f aca="false">IF('Promenade vs Mindbody'!I70="","",'Promenade vs Mindbody'!I70)</f>
        <v>Not listed in Mindbody Promenade</v>
      </c>
    </row>
    <row r="55" customFormat="false" ht="15" hidden="false" customHeight="false" outlineLevel="0" collapsed="false">
      <c r="A55" s="2" t="str">
        <f aca="false">IF('Promenade vs Mindbody'!H71="","",'Promenade vs Mindbody'!H71)</f>
        <v>Not in Mindbody</v>
      </c>
      <c r="B55" s="2" t="str">
        <f aca="false">IF('Promenade vs Mindbody'!A71="","",'Promenade vs Mindbody'!A71)</f>
        <v>(no Mindbody product)</v>
      </c>
      <c r="C55" s="2" t="str">
        <f aca="false">IF('Promenade vs Mindbody'!B71="","",'Promenade vs Mindbody'!B71)</f>
        <v/>
      </c>
      <c r="D55" s="2" t="str">
        <f aca="false">IF('Promenade vs Mindbody'!C71="","",'Promenade vs Mindbody'!C71)</f>
        <v>Damaged Items (item not specified)</v>
      </c>
      <c r="E55" s="4" t="str">
        <f aca="false">IF('Promenade vs Mindbody'!D71="","",'Promenade vs Mindbody'!D71)</f>
        <v>120cm</v>
      </c>
      <c r="F55" s="4" t="n">
        <f aca="false">IF('Promenade vs Mindbody'!E71="","",'Promenade vs Mindbody'!E71)</f>
        <v>1</v>
      </c>
      <c r="G55" s="4" t="str">
        <f aca="false">IF('Promenade vs Mindbody'!F71="","",'Promenade vs Mindbody'!F71)</f>
        <v/>
      </c>
      <c r="H55" s="4" t="str">
        <f aca="false">IF('Promenade vs Mindbody'!G71="","",'Promenade vs Mindbody'!G71)</f>
        <v/>
      </c>
      <c r="I55" s="10" t="str">
        <f aca="false">IF('Promenade vs Mindbody'!I71="","",'Promenade vs Mindbody'!I71)</f>
        <v>Not listed in Mindbody Promenade</v>
      </c>
    </row>
    <row r="56" customFormat="false" ht="15" hidden="false" customHeight="false" outlineLevel="0" collapsed="false">
      <c r="A56" s="2" t="str">
        <f aca="false">IF('Promenade vs Mindbody'!H72="","",'Promenade vs Mindbody'!H72)</f>
        <v>Not in Mindbody</v>
      </c>
      <c r="B56" s="2" t="str">
        <f aca="false">IF('Promenade vs Mindbody'!A72="","",'Promenade vs Mindbody'!A72)</f>
        <v>(no Mindbody product)</v>
      </c>
      <c r="C56" s="2" t="str">
        <f aca="false">IF('Promenade vs Mindbody'!B72="","",'Promenade vs Mindbody'!B72)</f>
        <v/>
      </c>
      <c r="D56" s="2" t="str">
        <f aca="false">IF('Promenade vs Mindbody'!C72="","",'Promenade vs Mindbody'!C72)</f>
        <v>Supporter</v>
      </c>
      <c r="E56" s="4" t="str">
        <f aca="false">IF('Promenade vs Mindbody'!D72="","",'Promenade vs Mindbody'!D72)</f>
        <v>XXL</v>
      </c>
      <c r="F56" s="4" t="n">
        <f aca="false">IF('Promenade vs Mindbody'!E72="","",'Promenade vs Mindbody'!E72)</f>
        <v>3</v>
      </c>
      <c r="G56" s="4" t="str">
        <f aca="false">IF('Promenade vs Mindbody'!F72="","",'Promenade vs Mindbody'!F72)</f>
        <v/>
      </c>
      <c r="H56" s="4" t="str">
        <f aca="false">IF('Promenade vs Mindbody'!G72="","",'Promenade vs Mindbody'!G72)</f>
        <v/>
      </c>
      <c r="I56" s="10" t="str">
        <f aca="false">IF('Promenade vs Mindbody'!I72="","",'Promenade vs Mindbody'!I72)</f>
        <v>No supporter product in Mindbody</v>
      </c>
    </row>
    <row r="57" customFormat="false" ht="15" hidden="false" customHeight="false" outlineLevel="0" collapsed="false">
      <c r="A57" s="2" t="str">
        <f aca="false">IF('Promenade vs Mindbody'!H73="","",'Promenade vs Mindbody'!H73)</f>
        <v>Not in Mindbody</v>
      </c>
      <c r="B57" s="2" t="str">
        <f aca="false">IF('Promenade vs Mindbody'!A73="","",'Promenade vs Mindbody'!A73)</f>
        <v>(no Mindbody product)</v>
      </c>
      <c r="C57" s="2" t="str">
        <f aca="false">IF('Promenade vs Mindbody'!B73="","",'Promenade vs Mindbody'!B73)</f>
        <v/>
      </c>
      <c r="D57" s="2" t="str">
        <f aca="false">IF('Promenade vs Mindbody'!C73="","",'Promenade vs Mindbody'!C73)</f>
        <v>Karate Gloves (Blue)</v>
      </c>
      <c r="E57" s="4" t="str">
        <f aca="false">IF('Promenade vs Mindbody'!D73="","",'Promenade vs Mindbody'!D73)</f>
        <v>XL</v>
      </c>
      <c r="F57" s="4" t="n">
        <f aca="false">IF('Promenade vs Mindbody'!E73="","",'Promenade vs Mindbody'!E73)</f>
        <v>1</v>
      </c>
      <c r="G57" s="4" t="str">
        <f aca="false">IF('Promenade vs Mindbody'!F73="","",'Promenade vs Mindbody'!F73)</f>
        <v/>
      </c>
      <c r="H57" s="4" t="str">
        <f aca="false">IF('Promenade vs Mindbody'!G73="","",'Promenade vs Mindbody'!G73)</f>
        <v/>
      </c>
      <c r="I57" s="10" t="str">
        <f aca="false">IF('Promenade vs Mindbody'!I73="","",'Promenade vs Mindbody'!I73)</f>
        <v>Not listed in Mindbody Promenade</v>
      </c>
    </row>
    <row r="58" customFormat="false" ht="15" hidden="false" customHeight="false" outlineLevel="0" collapsed="false">
      <c r="A58" s="2" t="str">
        <f aca="false">IF('Promenade vs Mindbody'!H74="","",'Promenade vs Mindbody'!H74)</f>
        <v>Not in Mindbody</v>
      </c>
      <c r="B58" s="2" t="str">
        <f aca="false">IF('Promenade vs Mindbody'!A74="","",'Promenade vs Mindbody'!A74)</f>
        <v>(no Mindbody product)</v>
      </c>
      <c r="C58" s="2" t="str">
        <f aca="false">IF('Promenade vs Mindbody'!B74="","",'Promenade vs Mindbody'!B74)</f>
        <v/>
      </c>
      <c r="D58" s="2" t="str">
        <f aca="false">IF('Promenade vs Mindbody'!C74="","",'Promenade vs Mindbody'!C74)</f>
        <v>Karate Gloves (Blue)</v>
      </c>
      <c r="E58" s="4" t="str">
        <f aca="false">IF('Promenade vs Mindbody'!D74="","",'Promenade vs Mindbody'!D74)</f>
        <v>M</v>
      </c>
      <c r="F58" s="4" t="n">
        <f aca="false">IF('Promenade vs Mindbody'!E74="","",'Promenade vs Mindbody'!E74)</f>
        <v>2</v>
      </c>
      <c r="G58" s="4" t="str">
        <f aca="false">IF('Promenade vs Mindbody'!F74="","",'Promenade vs Mindbody'!F74)</f>
        <v/>
      </c>
      <c r="H58" s="4" t="str">
        <f aca="false">IF('Promenade vs Mindbody'!G74="","",'Promenade vs Mindbody'!G74)</f>
        <v/>
      </c>
      <c r="I58" s="10" t="str">
        <f aca="false">IF('Promenade vs Mindbody'!I74="","",'Promenade vs Mindbody'!I74)</f>
        <v>Not listed in Mindbody Promenade</v>
      </c>
    </row>
    <row r="59" customFormat="false" ht="15" hidden="false" customHeight="false" outlineLevel="0" collapsed="false">
      <c r="A59" s="2" t="str">
        <f aca="false">IF('Promenade vs Mindbody'!H75="","",'Promenade vs Mindbody'!H75)</f>
        <v>Not in Mindbody</v>
      </c>
      <c r="B59" s="2" t="str">
        <f aca="false">IF('Promenade vs Mindbody'!A75="","",'Promenade vs Mindbody'!A75)</f>
        <v>(no Mindbody product)</v>
      </c>
      <c r="C59" s="2" t="str">
        <f aca="false">IF('Promenade vs Mindbody'!B75="","",'Promenade vs Mindbody'!B75)</f>
        <v/>
      </c>
      <c r="D59" s="2" t="str">
        <f aca="false">IF('Promenade vs Mindbody'!C75="","",'Promenade vs Mindbody'!C75)</f>
        <v>Karate Gloves (Blue)</v>
      </c>
      <c r="E59" s="4" t="str">
        <f aca="false">IF('Promenade vs Mindbody'!D75="","",'Promenade vs Mindbody'!D75)</f>
        <v>S</v>
      </c>
      <c r="F59" s="4" t="n">
        <f aca="false">IF('Promenade vs Mindbody'!E75="","",'Promenade vs Mindbody'!E75)</f>
        <v>2</v>
      </c>
      <c r="G59" s="4" t="str">
        <f aca="false">IF('Promenade vs Mindbody'!F75="","",'Promenade vs Mindbody'!F75)</f>
        <v/>
      </c>
      <c r="H59" s="4" t="str">
        <f aca="false">IF('Promenade vs Mindbody'!G75="","",'Promenade vs Mindbody'!G75)</f>
        <v/>
      </c>
      <c r="I59" s="10" t="str">
        <f aca="false">IF('Promenade vs Mindbody'!I75="","",'Promenade vs Mindbody'!I75)</f>
        <v>Not listed in Mindbody Promenade</v>
      </c>
    </row>
    <row r="60" customFormat="false" ht="15" hidden="false" customHeight="false" outlineLevel="0" collapsed="false">
      <c r="A60" s="2" t="str">
        <f aca="false">IF('Promenade vs Mindbody'!H77="","",'Promenade vs Mindbody'!H77)</f>
        <v>Not in Mindbody</v>
      </c>
      <c r="B60" s="2" t="str">
        <f aca="false">IF('Promenade vs Mindbody'!A77="","",'Promenade vs Mindbody'!A77)</f>
        <v>(no Mindbody product)</v>
      </c>
      <c r="C60" s="2" t="str">
        <f aca="false">IF('Promenade vs Mindbody'!B77="","",'Promenade vs Mindbody'!B77)</f>
        <v/>
      </c>
      <c r="D60" s="2" t="str">
        <f aca="false">IF('Promenade vs Mindbody'!C77="","",'Promenade vs Mindbody'!C77)</f>
        <v>Bottle Water</v>
      </c>
      <c r="E60" s="4" t="str">
        <f aca="false">IF('Promenade vs Mindbody'!D77="","",'Promenade vs Mindbody'!D77)</f>
        <v>Orange</v>
      </c>
      <c r="F60" s="4" t="n">
        <f aca="false">IF('Promenade vs Mindbody'!E77="","",'Promenade vs Mindbody'!E77)</f>
        <v>26</v>
      </c>
      <c r="G60" s="4" t="str">
        <f aca="false">IF('Promenade vs Mindbody'!F77="","",'Promenade vs Mindbody'!F77)</f>
        <v/>
      </c>
      <c r="H60" s="4" t="str">
        <f aca="false">IF('Promenade vs Mindbody'!G77="","",'Promenade vs Mindbody'!G77)</f>
        <v/>
      </c>
      <c r="I60" s="10" t="str">
        <f aca="false">IF('Promenade vs Mindbody'!I77="","",'Promenade vs Mindbody'!I77)</f>
        <v>Bottle Water exists in Bedaya Mindbody, not set up at Promenade</v>
      </c>
    </row>
    <row r="61" customFormat="false" ht="15" hidden="false" customHeight="false" outlineLevel="0" collapsed="false">
      <c r="A61" s="2" t="str">
        <f aca="false">IF('Promenade vs Mindbody'!H78="","",'Promenade vs Mindbody'!H78)</f>
        <v>Not in Mindbody</v>
      </c>
      <c r="B61" s="2" t="str">
        <f aca="false">IF('Promenade vs Mindbody'!A78="","",'Promenade vs Mindbody'!A78)</f>
        <v>(no Mindbody product)</v>
      </c>
      <c r="C61" s="2" t="str">
        <f aca="false">IF('Promenade vs Mindbody'!B78="","",'Promenade vs Mindbody'!B78)</f>
        <v/>
      </c>
      <c r="D61" s="2" t="str">
        <f aca="false">IF('Promenade vs Mindbody'!C78="","",'Promenade vs Mindbody'!C78)</f>
        <v>Bottle Water</v>
      </c>
      <c r="E61" s="4" t="str">
        <f aca="false">IF('Promenade vs Mindbody'!D78="","",'Promenade vs Mindbody'!D78)</f>
        <v>White</v>
      </c>
      <c r="F61" s="4" t="n">
        <f aca="false">IF('Promenade vs Mindbody'!E78="","",'Promenade vs Mindbody'!E78)</f>
        <v>14</v>
      </c>
      <c r="G61" s="4" t="str">
        <f aca="false">IF('Promenade vs Mindbody'!F78="","",'Promenade vs Mindbody'!F78)</f>
        <v/>
      </c>
      <c r="H61" s="4" t="str">
        <f aca="false">IF('Promenade vs Mindbody'!G78="","",'Promenade vs Mindbody'!G78)</f>
        <v/>
      </c>
      <c r="I61" s="10" t="str">
        <f aca="false">IF('Promenade vs Mindbody'!I78="","",'Promenade vs Mindbody'!I78)</f>
        <v>Bottle Water exists in Bedaya Mindbody, not set up at Promenade</v>
      </c>
    </row>
    <row r="62" customFormat="false" ht="15" hidden="false" customHeight="false" outlineLevel="0" collapsed="false">
      <c r="A62" s="2" t="str">
        <f aca="false">IF('Promenade vs Mindbody'!H79="","",'Promenade vs Mindbody'!H79)</f>
        <v>Not in Mindbody</v>
      </c>
      <c r="B62" s="2" t="str">
        <f aca="false">IF('Promenade vs Mindbody'!A79="","",'Promenade vs Mindbody'!A79)</f>
        <v>(no Mindbody product)</v>
      </c>
      <c r="C62" s="2" t="str">
        <f aca="false">IF('Promenade vs Mindbody'!B79="","",'Promenade vs Mindbody'!B79)</f>
        <v/>
      </c>
      <c r="D62" s="2" t="str">
        <f aca="false">IF('Promenade vs Mindbody'!C79="","",'Promenade vs Mindbody'!C79)</f>
        <v>Karate Uniform (No Logo)</v>
      </c>
      <c r="E62" s="4" t="str">
        <f aca="false">IF('Promenade vs Mindbody'!D79="","",'Promenade vs Mindbody'!D79)</f>
        <v>140cm</v>
      </c>
      <c r="F62" s="4" t="n">
        <f aca="false">IF('Promenade vs Mindbody'!E79="","",'Promenade vs Mindbody'!E79)</f>
        <v>13</v>
      </c>
      <c r="G62" s="4" t="str">
        <f aca="false">IF('Promenade vs Mindbody'!F79="","",'Promenade vs Mindbody'!F79)</f>
        <v/>
      </c>
      <c r="H62" s="4" t="str">
        <f aca="false">IF('Promenade vs Mindbody'!G79="","",'Promenade vs Mindbody'!G79)</f>
        <v/>
      </c>
      <c r="I62" s="10" t="str">
        <f aca="false">IF('Promenade vs Mindbody'!I79="","",'Promenade vs Mindbody'!I79)</f>
        <v>Old / no-logo stock - not listed in Mindbody Promenade</v>
      </c>
    </row>
    <row r="63" customFormat="false" ht="15" hidden="false" customHeight="false" outlineLevel="0" collapsed="false">
      <c r="A63" s="2" t="str">
        <f aca="false">IF('Promenade vs Mindbody'!H80="","",'Promenade vs Mindbody'!H80)</f>
        <v>Not in Mindbody</v>
      </c>
      <c r="B63" s="2" t="str">
        <f aca="false">IF('Promenade vs Mindbody'!A80="","",'Promenade vs Mindbody'!A80)</f>
        <v>(no Mindbody product)</v>
      </c>
      <c r="C63" s="2" t="str">
        <f aca="false">IF('Promenade vs Mindbody'!B80="","",'Promenade vs Mindbody'!B80)</f>
        <v/>
      </c>
      <c r="D63" s="2" t="str">
        <f aca="false">IF('Promenade vs Mindbody'!C80="","",'Promenade vs Mindbody'!C80)</f>
        <v>Karate Uniform (No Logo)</v>
      </c>
      <c r="E63" s="4" t="str">
        <f aca="false">IF('Promenade vs Mindbody'!D80="","",'Promenade vs Mindbody'!D80)</f>
        <v>130cm</v>
      </c>
      <c r="F63" s="4" t="n">
        <f aca="false">IF('Promenade vs Mindbody'!E80="","",'Promenade vs Mindbody'!E80)</f>
        <v>18</v>
      </c>
      <c r="G63" s="4" t="str">
        <f aca="false">IF('Promenade vs Mindbody'!F80="","",'Promenade vs Mindbody'!F80)</f>
        <v/>
      </c>
      <c r="H63" s="4" t="str">
        <f aca="false">IF('Promenade vs Mindbody'!G80="","",'Promenade vs Mindbody'!G80)</f>
        <v/>
      </c>
      <c r="I63" s="10" t="str">
        <f aca="false">IF('Promenade vs Mindbody'!I80="","",'Promenade vs Mindbody'!I80)</f>
        <v>Old / no-logo stock - not listed in Mindbody Promenade</v>
      </c>
    </row>
    <row r="64" customFormat="false" ht="15" hidden="false" customHeight="false" outlineLevel="0" collapsed="false">
      <c r="A64" s="2" t="str">
        <f aca="false">IF('Promenade vs Mindbody'!H81="","",'Promenade vs Mindbody'!H81)</f>
        <v>Not in Mindbody</v>
      </c>
      <c r="B64" s="2" t="str">
        <f aca="false">IF('Promenade vs Mindbody'!A81="","",'Promenade vs Mindbody'!A81)</f>
        <v>(no Mindbody product)</v>
      </c>
      <c r="C64" s="2" t="str">
        <f aca="false">IF('Promenade vs Mindbody'!B81="","",'Promenade vs Mindbody'!B81)</f>
        <v/>
      </c>
      <c r="D64" s="2" t="str">
        <f aca="false">IF('Promenade vs Mindbody'!C81="","",'Promenade vs Mindbody'!C81)</f>
        <v>Karate Uniform (No Logo)</v>
      </c>
      <c r="E64" s="4" t="str">
        <f aca="false">IF('Promenade vs Mindbody'!D81="","",'Promenade vs Mindbody'!D81)</f>
        <v>120cm</v>
      </c>
      <c r="F64" s="4" t="n">
        <f aca="false">IF('Promenade vs Mindbody'!E81="","",'Promenade vs Mindbody'!E81)</f>
        <v>31</v>
      </c>
      <c r="G64" s="4" t="str">
        <f aca="false">IF('Promenade vs Mindbody'!F81="","",'Promenade vs Mindbody'!F81)</f>
        <v/>
      </c>
      <c r="H64" s="4" t="str">
        <f aca="false">IF('Promenade vs Mindbody'!G81="","",'Promenade vs Mindbody'!G81)</f>
        <v/>
      </c>
      <c r="I64" s="10" t="str">
        <f aca="false">IF('Promenade vs Mindbody'!I81="","",'Promenade vs Mindbody'!I81)</f>
        <v>Old / no-logo stock - not listed in Mindbody Promenade</v>
      </c>
    </row>
    <row r="65" customFormat="false" ht="15" hidden="false" customHeight="false" outlineLevel="0" collapsed="false">
      <c r="A65" s="2" t="str">
        <f aca="false">IF('Promenade vs Mindbody'!H82="","",'Promenade vs Mindbody'!H82)</f>
        <v>Not in Mindbody</v>
      </c>
      <c r="B65" s="2" t="str">
        <f aca="false">IF('Promenade vs Mindbody'!A82="","",'Promenade vs Mindbody'!A82)</f>
        <v>(no Mindbody product)</v>
      </c>
      <c r="C65" s="2" t="str">
        <f aca="false">IF('Promenade vs Mindbody'!B82="","",'Promenade vs Mindbody'!B82)</f>
        <v/>
      </c>
      <c r="D65" s="2" t="str">
        <f aca="false">IF('Promenade vs Mindbody'!C82="","",'Promenade vs Mindbody'!C82)</f>
        <v>Karate Uniform (No Logo)</v>
      </c>
      <c r="E65" s="4" t="str">
        <f aca="false">IF('Promenade vs Mindbody'!D82="","",'Promenade vs Mindbody'!D82)</f>
        <v>100cm</v>
      </c>
      <c r="F65" s="4" t="n">
        <f aca="false">IF('Promenade vs Mindbody'!E82="","",'Promenade vs Mindbody'!E82)</f>
        <v>34</v>
      </c>
      <c r="G65" s="4" t="str">
        <f aca="false">IF('Promenade vs Mindbody'!F82="","",'Promenade vs Mindbody'!F82)</f>
        <v/>
      </c>
      <c r="H65" s="4" t="str">
        <f aca="false">IF('Promenade vs Mindbody'!G82="","",'Promenade vs Mindbody'!G82)</f>
        <v/>
      </c>
      <c r="I65" s="10" t="str">
        <f aca="false">IF('Promenade vs Mindbody'!I82="","",'Promenade vs Mindbody'!I82)</f>
        <v>Old / no-logo stock - not listed in Mindbody Promenade</v>
      </c>
    </row>
    <row r="66" customFormat="false" ht="15" hidden="false" customHeight="false" outlineLevel="0" collapsed="false">
      <c r="A66" s="2" t="str">
        <f aca="false">IF('Promenade vs Mindbody'!H83="","",'Promenade vs Mindbody'!H83)</f>
        <v>Not in Mindbody</v>
      </c>
      <c r="B66" s="2" t="str">
        <f aca="false">IF('Promenade vs Mindbody'!A83="","",'Promenade vs Mindbody'!A83)</f>
        <v>(no Mindbody product)</v>
      </c>
      <c r="C66" s="2" t="str">
        <f aca="false">IF('Promenade vs Mindbody'!B83="","",'Promenade vs Mindbody'!B83)</f>
        <v/>
      </c>
      <c r="D66" s="2" t="str">
        <f aca="false">IF('Promenade vs Mindbody'!C83="","",'Promenade vs Mindbody'!C83)</f>
        <v>Karate Uniform (No Logo)</v>
      </c>
      <c r="E66" s="4" t="str">
        <f aca="false">IF('Promenade vs Mindbody'!D83="","",'Promenade vs Mindbody'!D83)</f>
        <v>110cm</v>
      </c>
      <c r="F66" s="4" t="n">
        <f aca="false">IF('Promenade vs Mindbody'!E83="","",'Promenade vs Mindbody'!E83)</f>
        <v>86</v>
      </c>
      <c r="G66" s="4" t="str">
        <f aca="false">IF('Promenade vs Mindbody'!F83="","",'Promenade vs Mindbody'!F83)</f>
        <v/>
      </c>
      <c r="H66" s="4" t="str">
        <f aca="false">IF('Promenade vs Mindbody'!G83="","",'Promenade vs Mindbody'!G83)</f>
        <v/>
      </c>
      <c r="I66" s="10" t="str">
        <f aca="false">IF('Promenade vs Mindbody'!I83="","",'Promenade vs Mindbody'!I83)</f>
        <v>Old / no-logo stock - not listed in Mindbody Promenade</v>
      </c>
    </row>
    <row r="67" customFormat="false" ht="15" hidden="false" customHeight="false" outlineLevel="0" collapsed="false">
      <c r="A67" s="2" t="str">
        <f aca="false">IF('Promenade vs Mindbody'!H84="","",'Promenade vs Mindbody'!H84)</f>
        <v>Not in Mindbody</v>
      </c>
      <c r="B67" s="2" t="str">
        <f aca="false">IF('Promenade vs Mindbody'!A84="","",'Promenade vs Mindbody'!A84)</f>
        <v>(no Mindbody product)</v>
      </c>
      <c r="C67" s="2" t="str">
        <f aca="false">IF('Promenade vs Mindbody'!B84="","",'Promenade vs Mindbody'!B84)</f>
        <v/>
      </c>
      <c r="D67" s="2" t="str">
        <f aca="false">IF('Promenade vs Mindbody'!C84="","",'Promenade vs Mindbody'!C84)</f>
        <v>Karate Uniform (No Logo)</v>
      </c>
      <c r="E67" s="4" t="str">
        <f aca="false">IF('Promenade vs Mindbody'!D84="","",'Promenade vs Mindbody'!D84)</f>
        <v>190cm</v>
      </c>
      <c r="F67" s="4" t="n">
        <f aca="false">IF('Promenade vs Mindbody'!E84="","",'Promenade vs Mindbody'!E84)</f>
        <v>1</v>
      </c>
      <c r="G67" s="4" t="str">
        <f aca="false">IF('Promenade vs Mindbody'!F84="","",'Promenade vs Mindbody'!F84)</f>
        <v/>
      </c>
      <c r="H67" s="4" t="str">
        <f aca="false">IF('Promenade vs Mindbody'!G84="","",'Promenade vs Mindbody'!G84)</f>
        <v/>
      </c>
      <c r="I67" s="10" t="str">
        <f aca="false">IF('Promenade vs Mindbody'!I84="","",'Promenade vs Mindbody'!I84)</f>
        <v>Old / no-logo stock - not listed in Mindbody Promenade</v>
      </c>
    </row>
    <row r="68" customFormat="false" ht="15" hidden="false" customHeight="false" outlineLevel="0" collapsed="false">
      <c r="A68" s="2" t="str">
        <f aca="false">IF('Promenade vs Mindbody'!H85="","",'Promenade vs Mindbody'!H85)</f>
        <v>Not in Mindbody</v>
      </c>
      <c r="B68" s="2" t="str">
        <f aca="false">IF('Promenade vs Mindbody'!A85="","",'Promenade vs Mindbody'!A85)</f>
        <v>(no Mindbody product)</v>
      </c>
      <c r="C68" s="2" t="str">
        <f aca="false">IF('Promenade vs Mindbody'!B85="","",'Promenade vs Mindbody'!B85)</f>
        <v/>
      </c>
      <c r="D68" s="2" t="str">
        <f aca="false">IF('Promenade vs Mindbody'!C85="","",'Promenade vs Mindbody'!C85)</f>
        <v>Taekwondo Uniform (Old)</v>
      </c>
      <c r="E68" s="4" t="str">
        <f aca="false">IF('Promenade vs Mindbody'!D85="","",'Promenade vs Mindbody'!D85)</f>
        <v>110cm</v>
      </c>
      <c r="F68" s="4" t="n">
        <f aca="false">IF('Promenade vs Mindbody'!E85="","",'Promenade vs Mindbody'!E85)</f>
        <v>1</v>
      </c>
      <c r="G68" s="4" t="str">
        <f aca="false">IF('Promenade vs Mindbody'!F85="","",'Promenade vs Mindbody'!F85)</f>
        <v/>
      </c>
      <c r="H68" s="4" t="str">
        <f aca="false">IF('Promenade vs Mindbody'!G85="","",'Promenade vs Mindbody'!G85)</f>
        <v/>
      </c>
      <c r="I68" s="10" t="str">
        <f aca="false">IF('Promenade vs Mindbody'!I85="","",'Promenade vs Mindbody'!I85)</f>
        <v>Old / no-logo stock - not listed in Mindbody Promenade</v>
      </c>
    </row>
    <row r="69" customFormat="false" ht="15" hidden="false" customHeight="false" outlineLevel="0" collapsed="false">
      <c r="A69" s="2" t="str">
        <f aca="false">IF('Promenade vs Mindbody'!H86="","",'Promenade vs Mindbody'!H86)</f>
        <v>Not in Mindbody</v>
      </c>
      <c r="B69" s="2" t="str">
        <f aca="false">IF('Promenade vs Mindbody'!A86="","",'Promenade vs Mindbody'!A86)</f>
        <v>(no Mindbody product)</v>
      </c>
      <c r="C69" s="2" t="str">
        <f aca="false">IF('Promenade vs Mindbody'!B86="","",'Promenade vs Mindbody'!B86)</f>
        <v/>
      </c>
      <c r="D69" s="2" t="str">
        <f aca="false">IF('Promenade vs Mindbody'!C86="","",'Promenade vs Mindbody'!C86)</f>
        <v>Kajukimbo Uniform (No Logo)</v>
      </c>
      <c r="E69" s="4" t="str">
        <f aca="false">IF('Promenade vs Mindbody'!D86="","",'Promenade vs Mindbody'!D86)</f>
        <v>110cm</v>
      </c>
      <c r="F69" s="4" t="n">
        <f aca="false">IF('Promenade vs Mindbody'!E86="","",'Promenade vs Mindbody'!E86)</f>
        <v>20</v>
      </c>
      <c r="G69" s="4" t="str">
        <f aca="false">IF('Promenade vs Mindbody'!F86="","",'Promenade vs Mindbody'!F86)</f>
        <v/>
      </c>
      <c r="H69" s="4" t="str">
        <f aca="false">IF('Promenade vs Mindbody'!G86="","",'Promenade vs Mindbody'!G86)</f>
        <v/>
      </c>
      <c r="I69" s="10" t="str">
        <f aca="false">IF('Promenade vs Mindbody'!I86="","",'Promenade vs Mindbody'!I86)</f>
        <v>Old / no-logo stock - not listed in Mindbody Promenade</v>
      </c>
    </row>
    <row r="70" customFormat="false" ht="15" hidden="false" customHeight="false" outlineLevel="0" collapsed="false">
      <c r="A70" s="2" t="str">
        <f aca="false">IF('Promenade vs Mindbody'!H87="","",'Promenade vs Mindbody'!H87)</f>
        <v>Not in Mindbody</v>
      </c>
      <c r="B70" s="2" t="str">
        <f aca="false">IF('Promenade vs Mindbody'!A87="","",'Promenade vs Mindbody'!A87)</f>
        <v>(no Mindbody product)</v>
      </c>
      <c r="C70" s="2" t="str">
        <f aca="false">IF('Promenade vs Mindbody'!B87="","",'Promenade vs Mindbody'!B87)</f>
        <v/>
      </c>
      <c r="D70" s="2" t="str">
        <f aca="false">IF('Promenade vs Mindbody'!C87="","",'Promenade vs Mindbody'!C87)</f>
        <v>Kajukimbo Uniform (No Logo)</v>
      </c>
      <c r="E70" s="4" t="str">
        <f aca="false">IF('Promenade vs Mindbody'!D87="","",'Promenade vs Mindbody'!D87)</f>
        <v>120cm</v>
      </c>
      <c r="F70" s="4" t="n">
        <f aca="false">IF('Promenade vs Mindbody'!E87="","",'Promenade vs Mindbody'!E87)</f>
        <v>1</v>
      </c>
      <c r="G70" s="4" t="str">
        <f aca="false">IF('Promenade vs Mindbody'!F87="","",'Promenade vs Mindbody'!F87)</f>
        <v/>
      </c>
      <c r="H70" s="4" t="str">
        <f aca="false">IF('Promenade vs Mindbody'!G87="","",'Promenade vs Mindbody'!G87)</f>
        <v/>
      </c>
      <c r="I70" s="10" t="str">
        <f aca="false">IF('Promenade vs Mindbody'!I87="","",'Promenade vs Mindbody'!I87)</f>
        <v>Old / no-logo stock - not listed in Mindbody Promenade</v>
      </c>
    </row>
    <row r="71" customFormat="false" ht="15" hidden="false" customHeight="false" outlineLevel="0" collapsed="false">
      <c r="A71" s="2" t="str">
        <f aca="false">IF('Promenade vs Mindbody'!H88="","",'Promenade vs Mindbody'!H88)</f>
        <v>Not in Mindbody</v>
      </c>
      <c r="B71" s="2" t="str">
        <f aca="false">IF('Promenade vs Mindbody'!A88="","",'Promenade vs Mindbody'!A88)</f>
        <v>(no Mindbody product)</v>
      </c>
      <c r="C71" s="2" t="str">
        <f aca="false">IF('Promenade vs Mindbody'!B88="","",'Promenade vs Mindbody'!B88)</f>
        <v/>
      </c>
      <c r="D71" s="2" t="str">
        <f aca="false">IF('Promenade vs Mindbody'!C88="","",'Promenade vs Mindbody'!C88)</f>
        <v>Backpack (No Logo)</v>
      </c>
      <c r="E71" s="4" t="str">
        <f aca="false">IF('Promenade vs Mindbody'!D88="","",'Promenade vs Mindbody'!D88)</f>
        <v>-</v>
      </c>
      <c r="F71" s="4" t="n">
        <f aca="false">IF('Promenade vs Mindbody'!E88="","",'Promenade vs Mindbody'!E88)</f>
        <v>4</v>
      </c>
      <c r="G71" s="4" t="str">
        <f aca="false">IF('Promenade vs Mindbody'!F88="","",'Promenade vs Mindbody'!F88)</f>
        <v/>
      </c>
      <c r="H71" s="4" t="str">
        <f aca="false">IF('Promenade vs Mindbody'!G88="","",'Promenade vs Mindbody'!G88)</f>
        <v/>
      </c>
      <c r="I71" s="10" t="str">
        <f aca="false">IF('Promenade vs Mindbody'!I88="","",'Promenade vs Mindbody'!I88)</f>
        <v>Old / no-logo stock - not listed in Mindbody Promenade</v>
      </c>
    </row>
    <row r="72" customFormat="false" ht="15" hidden="false" customHeight="false" outlineLevel="0" collapsed="false">
      <c r="A72" s="2" t="str">
        <f aca="false">IF('Promenade vs Mindbody'!H89="","",'Promenade vs Mindbody'!H89)</f>
        <v>Not in Mindbody</v>
      </c>
      <c r="B72" s="2" t="str">
        <f aca="false">IF('Promenade vs Mindbody'!A89="","",'Promenade vs Mindbody'!A89)</f>
        <v>(no Mindbody product)</v>
      </c>
      <c r="C72" s="2" t="str">
        <f aca="false">IF('Promenade vs Mindbody'!B89="","",'Promenade vs Mindbody'!B89)</f>
        <v/>
      </c>
      <c r="D72" s="2" t="str">
        <f aca="false">IF('Promenade vs Mindbody'!C89="","",'Promenade vs Mindbody'!C89)</f>
        <v>Judo Uniform (No Logo)</v>
      </c>
      <c r="E72" s="4" t="str">
        <f aca="false">IF('Promenade vs Mindbody'!D89="","",'Promenade vs Mindbody'!D89)</f>
        <v>110cm</v>
      </c>
      <c r="F72" s="4" t="n">
        <f aca="false">IF('Promenade vs Mindbody'!E89="","",'Promenade vs Mindbody'!E89)</f>
        <v>29</v>
      </c>
      <c r="G72" s="4" t="str">
        <f aca="false">IF('Promenade vs Mindbody'!F89="","",'Promenade vs Mindbody'!F89)</f>
        <v/>
      </c>
      <c r="H72" s="4" t="str">
        <f aca="false">IF('Promenade vs Mindbody'!G89="","",'Promenade vs Mindbody'!G89)</f>
        <v/>
      </c>
      <c r="I72" s="10" t="str">
        <f aca="false">IF('Promenade vs Mindbody'!I89="","",'Promenade vs Mindbody'!I89)</f>
        <v>Judo (No Program) - not listed in Mindbody Promenade</v>
      </c>
    </row>
    <row r="73" customFormat="false" ht="15" hidden="false" customHeight="false" outlineLevel="0" collapsed="false">
      <c r="A73" s="2" t="str">
        <f aca="false">IF('Promenade vs Mindbody'!H90="","",'Promenade vs Mindbody'!H90)</f>
        <v>Not in Mindbody</v>
      </c>
      <c r="B73" s="2" t="str">
        <f aca="false">IF('Promenade vs Mindbody'!A90="","",'Promenade vs Mindbody'!A90)</f>
        <v>(no Mindbody product)</v>
      </c>
      <c r="C73" s="2" t="str">
        <f aca="false">IF('Promenade vs Mindbody'!B90="","",'Promenade vs Mindbody'!B90)</f>
        <v/>
      </c>
      <c r="D73" s="2" t="str">
        <f aca="false">IF('Promenade vs Mindbody'!C90="","",'Promenade vs Mindbody'!C90)</f>
        <v>Judo Uniform (No Logo)</v>
      </c>
      <c r="E73" s="4" t="str">
        <f aca="false">IF('Promenade vs Mindbody'!D90="","",'Promenade vs Mindbody'!D90)</f>
        <v>100cm</v>
      </c>
      <c r="F73" s="4" t="n">
        <f aca="false">IF('Promenade vs Mindbody'!E90="","",'Promenade vs Mindbody'!E90)</f>
        <v>3</v>
      </c>
      <c r="G73" s="4" t="str">
        <f aca="false">IF('Promenade vs Mindbody'!F90="","",'Promenade vs Mindbody'!F90)</f>
        <v/>
      </c>
      <c r="H73" s="4" t="str">
        <f aca="false">IF('Promenade vs Mindbody'!G90="","",'Promenade vs Mindbody'!G90)</f>
        <v/>
      </c>
      <c r="I73" s="10" t="str">
        <f aca="false">IF('Promenade vs Mindbody'!I90="","",'Promenade vs Mindbody'!I90)</f>
        <v>Judo (No Program) - not listed in Mindbody Promenade</v>
      </c>
    </row>
    <row r="74" customFormat="false" ht="15" hidden="false" customHeight="false" outlineLevel="0" collapsed="false">
      <c r="A74" s="2" t="str">
        <f aca="false">IF('Promenade vs Mindbody'!H92="","",'Promenade vs Mindbody'!H92)</f>
        <v>Not in Mindbody</v>
      </c>
      <c r="B74" s="2" t="str">
        <f aca="false">IF('Promenade vs Mindbody'!A92="","",'Promenade vs Mindbody'!A92)</f>
        <v>(no Mindbody product)</v>
      </c>
      <c r="C74" s="2" t="str">
        <f aca="false">IF('Promenade vs Mindbody'!B92="","",'Promenade vs Mindbody'!B92)</f>
        <v/>
      </c>
      <c r="D74" s="2" t="str">
        <f aca="false">IF('Promenade vs Mindbody'!C92="","",'Promenade vs Mindbody'!C92)</f>
        <v>Judo Uniform (No Logo)</v>
      </c>
      <c r="E74" s="4" t="str">
        <f aca="false">IF('Promenade vs Mindbody'!D92="","",'Promenade vs Mindbody'!D92)</f>
        <v>120cm</v>
      </c>
      <c r="F74" s="4" t="n">
        <f aca="false">IF('Promenade vs Mindbody'!E92="","",'Promenade vs Mindbody'!E92)</f>
        <v>28</v>
      </c>
      <c r="G74" s="4" t="str">
        <f aca="false">IF('Promenade vs Mindbody'!F92="","",'Promenade vs Mindbody'!F92)</f>
        <v/>
      </c>
      <c r="H74" s="4" t="str">
        <f aca="false">IF('Promenade vs Mindbody'!G92="","",'Promenade vs Mindbody'!G92)</f>
        <v/>
      </c>
      <c r="I74" s="10" t="str">
        <f aca="false">IF('Promenade vs Mindbody'!I92="","",'Promenade vs Mindbody'!I92)</f>
        <v>Judo (No Program) - not listed in Mindbody Promenade</v>
      </c>
    </row>
    <row r="75" customFormat="false" ht="15" hidden="false" customHeight="false" outlineLevel="0" collapsed="false">
      <c r="A75" s="2" t="str">
        <f aca="false">IF('Promenade vs Mindbody'!H93="","",'Promenade vs Mindbody'!H93)</f>
        <v>Not in Mindbody</v>
      </c>
      <c r="B75" s="2" t="str">
        <f aca="false">IF('Promenade vs Mindbody'!A93="","",'Promenade vs Mindbody'!A93)</f>
        <v>(no Mindbody product)</v>
      </c>
      <c r="C75" s="2" t="str">
        <f aca="false">IF('Promenade vs Mindbody'!B93="","",'Promenade vs Mindbody'!B93)</f>
        <v/>
      </c>
      <c r="D75" s="2" t="str">
        <f aca="false">IF('Promenade vs Mindbody'!C93="","",'Promenade vs Mindbody'!C93)</f>
        <v>Judo Uniform (No Logo)</v>
      </c>
      <c r="E75" s="4" t="str">
        <f aca="false">IF('Promenade vs Mindbody'!D93="","",'Promenade vs Mindbody'!D93)</f>
        <v>140cm</v>
      </c>
      <c r="F75" s="4" t="n">
        <f aca="false">IF('Promenade vs Mindbody'!E93="","",'Promenade vs Mindbody'!E93)</f>
        <v>10</v>
      </c>
      <c r="G75" s="4" t="str">
        <f aca="false">IF('Promenade vs Mindbody'!F93="","",'Promenade vs Mindbody'!F93)</f>
        <v/>
      </c>
      <c r="H75" s="4" t="str">
        <f aca="false">IF('Promenade vs Mindbody'!G93="","",'Promenade vs Mindbody'!G93)</f>
        <v/>
      </c>
      <c r="I75" s="10" t="str">
        <f aca="false">IF('Promenade vs Mindbody'!I93="","",'Promenade vs Mindbody'!I93)</f>
        <v>Judo (No Program) - not listed in Mindbody Promenade</v>
      </c>
    </row>
    <row r="76" customFormat="false" ht="15" hidden="false" customHeight="false" outlineLevel="0" collapsed="false">
      <c r="A76" s="2" t="str">
        <f aca="false">IF('Promenade vs Mindbody'!H94="","",'Promenade vs Mindbody'!H94)</f>
        <v>Not in Mindbody</v>
      </c>
      <c r="B76" s="2" t="str">
        <f aca="false">IF('Promenade vs Mindbody'!A94="","",'Promenade vs Mindbody'!A94)</f>
        <v>(no Mindbody product)</v>
      </c>
      <c r="C76" s="2" t="str">
        <f aca="false">IF('Promenade vs Mindbody'!B94="","",'Promenade vs Mindbody'!B94)</f>
        <v/>
      </c>
      <c r="D76" s="2" t="str">
        <f aca="false">IF('Promenade vs Mindbody'!C94="","",'Promenade vs Mindbody'!C94)</f>
        <v>Judo Uniform (No Logo)</v>
      </c>
      <c r="E76" s="4" t="str">
        <f aca="false">IF('Promenade vs Mindbody'!D94="","",'Promenade vs Mindbody'!D94)</f>
        <v>150cm</v>
      </c>
      <c r="F76" s="4" t="n">
        <f aca="false">IF('Promenade vs Mindbody'!E94="","",'Promenade vs Mindbody'!E94)</f>
        <v>1</v>
      </c>
      <c r="G76" s="4" t="str">
        <f aca="false">IF('Promenade vs Mindbody'!F94="","",'Promenade vs Mindbody'!F94)</f>
        <v/>
      </c>
      <c r="H76" s="4" t="str">
        <f aca="false">IF('Promenade vs Mindbody'!G94="","",'Promenade vs Mindbody'!G94)</f>
        <v/>
      </c>
      <c r="I76" s="10" t="str">
        <f aca="false">IF('Promenade vs Mindbody'!I94="","",'Promenade vs Mindbody'!I94)</f>
        <v>Judo (No Program) - not listed in Mindbody Promenade</v>
      </c>
    </row>
    <row r="77" customFormat="false" ht="15" hidden="false" customHeight="false" outlineLevel="0" collapsed="false">
      <c r="A77" s="2" t="str">
        <f aca="false">IF('Promenade vs Mindbody'!H95="","",'Promenade vs Mindbody'!H95)</f>
        <v>Not in Mindbody</v>
      </c>
      <c r="B77" s="2" t="str">
        <f aca="false">IF('Promenade vs Mindbody'!A95="","",'Promenade vs Mindbody'!A95)</f>
        <v>(no Mindbody product)</v>
      </c>
      <c r="C77" s="2" t="str">
        <f aca="false">IF('Promenade vs Mindbody'!B95="","",'Promenade vs Mindbody'!B95)</f>
        <v/>
      </c>
      <c r="D77" s="2" t="str">
        <f aca="false">IF('Promenade vs Mindbody'!C95="","",'Promenade vs Mindbody'!C95)</f>
        <v>Judo Uniform (With Logo)</v>
      </c>
      <c r="E77" s="4" t="str">
        <f aca="false">IF('Promenade vs Mindbody'!D95="","",'Promenade vs Mindbody'!D95)</f>
        <v>110cm</v>
      </c>
      <c r="F77" s="4" t="n">
        <f aca="false">IF('Promenade vs Mindbody'!E95="","",'Promenade vs Mindbody'!E95)</f>
        <v>9</v>
      </c>
      <c r="G77" s="4" t="str">
        <f aca="false">IF('Promenade vs Mindbody'!F95="","",'Promenade vs Mindbody'!F95)</f>
        <v/>
      </c>
      <c r="H77" s="4" t="str">
        <f aca="false">IF('Promenade vs Mindbody'!G95="","",'Promenade vs Mindbody'!G95)</f>
        <v/>
      </c>
      <c r="I77" s="10" t="str">
        <f aca="false">IF('Promenade vs Mindbody'!I95="","",'Promenade vs Mindbody'!I95)</f>
        <v>Judo (No Program) - not listed in Mindbody Promenade</v>
      </c>
    </row>
    <row r="78" customFormat="false" ht="15" hidden="false" customHeight="false" outlineLevel="0" collapsed="false">
      <c r="A78" s="2" t="str">
        <f aca="false">IF('Promenade vs Mindbody'!H97="","",'Promenade vs Mindbody'!H97)</f>
        <v>Not in Mindbody</v>
      </c>
      <c r="B78" s="2" t="str">
        <f aca="false">IF('Promenade vs Mindbody'!A97="","",'Promenade vs Mindbody'!A97)</f>
        <v>(no Mindbody product)</v>
      </c>
      <c r="C78" s="2" t="str">
        <f aca="false">IF('Promenade vs Mindbody'!B97="","",'Promenade vs Mindbody'!B97)</f>
        <v/>
      </c>
      <c r="D78" s="2" t="str">
        <f aca="false">IF('Promenade vs Mindbody'!C97="","",'Promenade vs Mindbody'!C97)</f>
        <v>Judo Uniform (With Logo)</v>
      </c>
      <c r="E78" s="4" t="str">
        <f aca="false">IF('Promenade vs Mindbody'!D97="","",'Promenade vs Mindbody'!D97)</f>
        <v>120cm</v>
      </c>
      <c r="F78" s="4" t="n">
        <f aca="false">IF('Promenade vs Mindbody'!E97="","",'Promenade vs Mindbody'!E97)</f>
        <v>6</v>
      </c>
      <c r="G78" s="4" t="str">
        <f aca="false">IF('Promenade vs Mindbody'!F97="","",'Promenade vs Mindbody'!F97)</f>
        <v/>
      </c>
      <c r="H78" s="4" t="str">
        <f aca="false">IF('Promenade vs Mindbody'!G97="","",'Promenade vs Mindbody'!G97)</f>
        <v/>
      </c>
      <c r="I78" s="10" t="str">
        <f aca="false">IF('Promenade vs Mindbody'!I97="","",'Promenade vs Mindbody'!I97)</f>
        <v>Judo (No Program) - not listed in Mindbody Promenade</v>
      </c>
    </row>
    <row r="79" customFormat="false" ht="15" hidden="false" customHeight="false" outlineLevel="0" collapsed="false">
      <c r="A79" s="2" t="str">
        <f aca="false">IF('Promenade vs Mindbody'!H98="","",'Promenade vs Mindbody'!H98)</f>
        <v>Not in Mindbody</v>
      </c>
      <c r="B79" s="2" t="str">
        <f aca="false">IF('Promenade vs Mindbody'!A98="","",'Promenade vs Mindbody'!A98)</f>
        <v>(no Mindbody product)</v>
      </c>
      <c r="C79" s="2" t="str">
        <f aca="false">IF('Promenade vs Mindbody'!B98="","",'Promenade vs Mindbody'!B98)</f>
        <v/>
      </c>
      <c r="D79" s="2" t="str">
        <f aca="false">IF('Promenade vs Mindbody'!C98="","",'Promenade vs Mindbody'!C98)</f>
        <v>Judo Uniform (With Logo)</v>
      </c>
      <c r="E79" s="4" t="str">
        <f aca="false">IF('Promenade vs Mindbody'!D98="","",'Promenade vs Mindbody'!D98)</f>
        <v>140cm</v>
      </c>
      <c r="F79" s="4" t="n">
        <f aca="false">IF('Promenade vs Mindbody'!E98="","",'Promenade vs Mindbody'!E98)</f>
        <v>5</v>
      </c>
      <c r="G79" s="4" t="str">
        <f aca="false">IF('Promenade vs Mindbody'!F98="","",'Promenade vs Mindbody'!F98)</f>
        <v/>
      </c>
      <c r="H79" s="4" t="str">
        <f aca="false">IF('Promenade vs Mindbody'!G98="","",'Promenade vs Mindbody'!G98)</f>
        <v/>
      </c>
      <c r="I79" s="10" t="str">
        <f aca="false">IF('Promenade vs Mindbody'!I98="","",'Promenade vs Mindbody'!I98)</f>
        <v>Judo (No Program) - not listed in Mindbody Promenade</v>
      </c>
    </row>
    <row r="80" customFormat="false" ht="15" hidden="false" customHeight="false" outlineLevel="0" collapsed="false">
      <c r="A80" s="2" t="str">
        <f aca="false">IF('Promenade vs Mindbody'!H99="","",'Promenade vs Mindbody'!H99)</f>
        <v>Not in Mindbody</v>
      </c>
      <c r="B80" s="2" t="str">
        <f aca="false">IF('Promenade vs Mindbody'!A99="","",'Promenade vs Mindbody'!A99)</f>
        <v>(no Mindbody product)</v>
      </c>
      <c r="C80" s="2" t="str">
        <f aca="false">IF('Promenade vs Mindbody'!B99="","",'Promenade vs Mindbody'!B99)</f>
        <v/>
      </c>
      <c r="D80" s="2" t="str">
        <f aca="false">IF('Promenade vs Mindbody'!C99="","",'Promenade vs Mindbody'!C99)</f>
        <v>Judo Uniform (With Logo)</v>
      </c>
      <c r="E80" s="4" t="str">
        <f aca="false">IF('Promenade vs Mindbody'!D99="","",'Promenade vs Mindbody'!D99)</f>
        <v>130cm</v>
      </c>
      <c r="F80" s="4" t="n">
        <f aca="false">IF('Promenade vs Mindbody'!E99="","",'Promenade vs Mindbody'!E99)</f>
        <v>6</v>
      </c>
      <c r="G80" s="4" t="str">
        <f aca="false">IF('Promenade vs Mindbody'!F99="","",'Promenade vs Mindbody'!F99)</f>
        <v/>
      </c>
      <c r="H80" s="4" t="str">
        <f aca="false">IF('Promenade vs Mindbody'!G99="","",'Promenade vs Mindbody'!G99)</f>
        <v/>
      </c>
      <c r="I80" s="10" t="str">
        <f aca="false">IF('Promenade vs Mindbody'!I99="","",'Promenade vs Mindbody'!I99)</f>
        <v>Judo (No Program) - not listed in Mindbody Promenade</v>
      </c>
    </row>
    <row r="81" customFormat="false" ht="15" hidden="false" customHeight="false" outlineLevel="0" collapsed="false">
      <c r="A81" s="2" t="str">
        <f aca="false">IF('Promenade vs Mindbody'!H40="","",'Promenade vs Mindbody'!H40)</f>
        <v>Not counted</v>
      </c>
      <c r="B81" s="2" t="str">
        <f aca="false">IF('Promenade vs Mindbody'!A40="","",'Promenade vs Mindbody'!A40)</f>
        <v>(no Mindbody product)</v>
      </c>
      <c r="C81" s="2" t="str">
        <f aca="false">IF('Promenade vs Mindbody'!B40="","",'Promenade vs Mindbody'!B40)</f>
        <v/>
      </c>
      <c r="D81" s="2" t="str">
        <f aca="false">IF('Promenade vs Mindbody'!C40="","",'Promenade vs Mindbody'!C40)</f>
        <v>Gloves (Elite Logo) - Old</v>
      </c>
      <c r="E81" s="4" t="str">
        <f aca="false">IF('Promenade vs Mindbody'!D40="","",'Promenade vs Mindbody'!D40)</f>
        <v>L</v>
      </c>
      <c r="F81" s="4" t="str">
        <f aca="false">IF('Promenade vs Mindbody'!E40="","",'Promenade vs Mindbody'!E40)</f>
        <v/>
      </c>
      <c r="G81" s="4" t="str">
        <f aca="false">IF('Promenade vs Mindbody'!F40="","",'Promenade vs Mindbody'!F40)</f>
        <v/>
      </c>
      <c r="H81" s="4" t="str">
        <f aca="false">IF('Promenade vs Mindbody'!G40="","",'Promenade vs Mindbody'!G40)</f>
        <v/>
      </c>
      <c r="I81" s="10" t="str">
        <f aca="false">IF('Promenade vs Mindbody'!I40="","",'Promenade vs Mindbody'!I40)</f>
        <v>Not listed in Mindbody Promenade | Quantity not written</v>
      </c>
    </row>
    <row r="82" customFormat="false" ht="15" hidden="false" customHeight="false" outlineLevel="0" collapsed="false">
      <c r="A82" s="2" t="str">
        <f aca="false">IF('Promenade vs Mindbody'!H41="","",'Promenade vs Mindbody'!H41)</f>
        <v>Not counted</v>
      </c>
      <c r="B82" s="2" t="str">
        <f aca="false">IF('Promenade vs Mindbody'!A41="","",'Promenade vs Mindbody'!A41)</f>
        <v>(no Mindbody product)</v>
      </c>
      <c r="C82" s="2" t="str">
        <f aca="false">IF('Promenade vs Mindbody'!B41="","",'Promenade vs Mindbody'!B41)</f>
        <v/>
      </c>
      <c r="D82" s="2" t="str">
        <f aca="false">IF('Promenade vs Mindbody'!C41="","",'Promenade vs Mindbody'!C41)</f>
        <v>Gloves (Elite Logo) - Old</v>
      </c>
      <c r="E82" s="4" t="str">
        <f aca="false">IF('Promenade vs Mindbody'!D41="","",'Promenade vs Mindbody'!D41)</f>
        <v>S</v>
      </c>
      <c r="F82" s="4" t="str">
        <f aca="false">IF('Promenade vs Mindbody'!E41="","",'Promenade vs Mindbody'!E41)</f>
        <v/>
      </c>
      <c r="G82" s="4" t="str">
        <f aca="false">IF('Promenade vs Mindbody'!F41="","",'Promenade vs Mindbody'!F41)</f>
        <v/>
      </c>
      <c r="H82" s="4" t="str">
        <f aca="false">IF('Promenade vs Mindbody'!G41="","",'Promenade vs Mindbody'!G41)</f>
        <v/>
      </c>
      <c r="I82" s="10" t="str">
        <f aca="false">IF('Promenade vs Mindbody'!I41="","",'Promenade vs Mindbody'!I41)</f>
        <v>Not listed in Mindbody Promenade | Quantity not written</v>
      </c>
    </row>
    <row r="83" customFormat="false" ht="23.85" hidden="false" customHeight="false" outlineLevel="0" collapsed="false">
      <c r="A83" s="2" t="str">
        <f aca="false">IF('Promenade vs Mindbody'!H57="","",'Promenade vs Mindbody'!H57)</f>
        <v>Not counted</v>
      </c>
      <c r="B83" s="2" t="str">
        <f aca="false">IF('Promenade vs Mindbody'!A57="","",'Promenade vs Mindbody'!A57)</f>
        <v>(no Mindbody product)</v>
      </c>
      <c r="C83" s="2" t="str">
        <f aca="false">IF('Promenade vs Mindbody'!B57="","",'Promenade vs Mindbody'!B57)</f>
        <v/>
      </c>
      <c r="D83" s="2" t="str">
        <f aca="false">IF('Promenade vs Mindbody'!C57="","",'Promenade vs Mindbody'!C57)</f>
        <v>Systema T-shirt (Gray)</v>
      </c>
      <c r="E83" s="4" t="str">
        <f aca="false">IF('Promenade vs Mindbody'!D57="","",'Promenade vs Mindbody'!D57)</f>
        <v>S</v>
      </c>
      <c r="F83" s="4" t="str">
        <f aca="false">IF('Promenade vs Mindbody'!E57="","",'Promenade vs Mindbody'!E57)</f>
        <v/>
      </c>
      <c r="G83" s="4" t="str">
        <f aca="false">IF('Promenade vs Mindbody'!F57="","",'Promenade vs Mindbody'!F57)</f>
        <v/>
      </c>
      <c r="H83" s="4" t="str">
        <f aca="false">IF('Promenade vs Mindbody'!G57="","",'Promenade vs Mindbody'!G57)</f>
        <v/>
      </c>
      <c r="I83" s="10" t="str">
        <f aca="false">IF('Promenade vs Mindbody'!I57="","",'Promenade vs Mindbody'!I57)</f>
        <v>Systema Shirt exists in Bedaya Mindbody, not set up at Promenade | Quantity not written</v>
      </c>
    </row>
    <row r="84" customFormat="false" ht="15" hidden="false" customHeight="false" outlineLevel="0" collapsed="false">
      <c r="A84" s="2" t="str">
        <f aca="false">IF('Promenade vs Mindbody'!H76="","",'Promenade vs Mindbody'!H76)</f>
        <v>Not counted</v>
      </c>
      <c r="B84" s="2" t="str">
        <f aca="false">IF('Promenade vs Mindbody'!A76="","",'Promenade vs Mindbody'!A76)</f>
        <v>(no Mindbody product)</v>
      </c>
      <c r="C84" s="2" t="str">
        <f aca="false">IF('Promenade vs Mindbody'!B76="","",'Promenade vs Mindbody'!B76)</f>
        <v/>
      </c>
      <c r="D84" s="2" t="str">
        <f aca="false">IF('Promenade vs Mindbody'!C76="","",'Promenade vs Mindbody'!C76)</f>
        <v>Karate Gloves (Blue)</v>
      </c>
      <c r="E84" s="4" t="str">
        <f aca="false">IF('Promenade vs Mindbody'!D76="","",'Promenade vs Mindbody'!D76)</f>
        <v>L</v>
      </c>
      <c r="F84" s="4" t="str">
        <f aca="false">IF('Promenade vs Mindbody'!E76="","",'Promenade vs Mindbody'!E76)</f>
        <v/>
      </c>
      <c r="G84" s="4" t="str">
        <f aca="false">IF('Promenade vs Mindbody'!F76="","",'Promenade vs Mindbody'!F76)</f>
        <v/>
      </c>
      <c r="H84" s="4" t="str">
        <f aca="false">IF('Promenade vs Mindbody'!G76="","",'Promenade vs Mindbody'!G76)</f>
        <v/>
      </c>
      <c r="I84" s="10" t="str">
        <f aca="false">IF('Promenade vs Mindbody'!I76="","",'Promenade vs Mindbody'!I76)</f>
        <v>Not listed in Mindbody Promenade | Quantity not written</v>
      </c>
    </row>
    <row r="85" customFormat="false" ht="15" hidden="false" customHeight="false" outlineLevel="0" collapsed="false">
      <c r="A85" s="2" t="str">
        <f aca="false">IF('Promenade vs Mindbody'!H91="","",'Promenade vs Mindbody'!H91)</f>
        <v>Not counted</v>
      </c>
      <c r="B85" s="2" t="str">
        <f aca="false">IF('Promenade vs Mindbody'!A91="","",'Promenade vs Mindbody'!A91)</f>
        <v>(no Mindbody product)</v>
      </c>
      <c r="C85" s="2" t="str">
        <f aca="false">IF('Promenade vs Mindbody'!B91="","",'Promenade vs Mindbody'!B91)</f>
        <v/>
      </c>
      <c r="D85" s="2" t="str">
        <f aca="false">IF('Promenade vs Mindbody'!C91="","",'Promenade vs Mindbody'!C91)</f>
        <v>Judo Uniform (No Logo)</v>
      </c>
      <c r="E85" s="4" t="str">
        <f aca="false">IF('Promenade vs Mindbody'!D91="","",'Promenade vs Mindbody'!D91)</f>
        <v>130cm</v>
      </c>
      <c r="F85" s="4" t="str">
        <f aca="false">IF('Promenade vs Mindbody'!E91="","",'Promenade vs Mindbody'!E91)</f>
        <v/>
      </c>
      <c r="G85" s="4" t="str">
        <f aca="false">IF('Promenade vs Mindbody'!F91="","",'Promenade vs Mindbody'!F91)</f>
        <v/>
      </c>
      <c r="H85" s="4" t="str">
        <f aca="false">IF('Promenade vs Mindbody'!G91="","",'Promenade vs Mindbody'!G91)</f>
        <v/>
      </c>
      <c r="I85" s="10" t="str">
        <f aca="false">IF('Promenade vs Mindbody'!I91="","",'Promenade vs Mindbody'!I91)</f>
        <v>Judo (No Program) - not listed in Mindbody Promenade | Quantity not written</v>
      </c>
    </row>
    <row r="86" customFormat="false" ht="15" hidden="false" customHeight="false" outlineLevel="0" collapsed="false">
      <c r="A86" s="2" t="str">
        <f aca="false">IF('Promenade vs Mindbody'!H96="","",'Promenade vs Mindbody'!H96)</f>
        <v>Not counted</v>
      </c>
      <c r="B86" s="2" t="str">
        <f aca="false">IF('Promenade vs Mindbody'!A96="","",'Promenade vs Mindbody'!A96)</f>
        <v>(no Mindbody product)</v>
      </c>
      <c r="C86" s="2" t="str">
        <f aca="false">IF('Promenade vs Mindbody'!B96="","",'Promenade vs Mindbody'!B96)</f>
        <v/>
      </c>
      <c r="D86" s="2" t="str">
        <f aca="false">IF('Promenade vs Mindbody'!C96="","",'Promenade vs Mindbody'!C96)</f>
        <v>Judo Uniform (With Logo)</v>
      </c>
      <c r="E86" s="4" t="str">
        <f aca="false">IF('Promenade vs Mindbody'!D96="","",'Promenade vs Mindbody'!D96)</f>
        <v>100cm</v>
      </c>
      <c r="F86" s="4" t="str">
        <f aca="false">IF('Promenade vs Mindbody'!E96="","",'Promenade vs Mindbody'!E96)</f>
        <v/>
      </c>
      <c r="G86" s="4" t="str">
        <f aca="false">IF('Promenade vs Mindbody'!F96="","",'Promenade vs Mindbody'!F96)</f>
        <v/>
      </c>
      <c r="H86" s="4" t="str">
        <f aca="false">IF('Promenade vs Mindbody'!G96="","",'Promenade vs Mindbody'!G96)</f>
        <v/>
      </c>
      <c r="I86" s="10" t="str">
        <f aca="false">IF('Promenade vs Mindbody'!I96="","",'Promenade vs Mindbody'!I96)</f>
        <v>Judo (No Program) - not listed in Mindbody Promenade | Quantity not written</v>
      </c>
    </row>
  </sheetData>
  <autoFilter ref="A7:I86"/>
  <conditionalFormatting sqref="A8:A86">
    <cfRule type="expression" priority="2" aboveAverage="0" equalAverage="0" bottom="0" percent="0" rank="0" text="" dxfId="4">
      <formula>OR($A8="Physical higher",$A8="Mindbody higher")</formula>
    </cfRule>
    <cfRule type="expression" priority="3" aboveAverage="0" equalAverage="0" bottom="0" percent="0" rank="0" text="" dxfId="7">
      <formula>OR($A8="Not in Mindbody",$A8="Not counted")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8"/>
    <col collapsed="false" customWidth="true" hidden="false" outlineLevel="0" max="4" min="4" style="0" width="20"/>
    <col collapsed="false" customWidth="true" hidden="false" outlineLevel="0" max="5" min="5" style="0" width="12"/>
    <col collapsed="false" customWidth="true" hidden="false" outlineLevel="0" max="6" min="6" style="0" width="8"/>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60"/>
  </cols>
  <sheetData>
    <row r="1" customFormat="false" ht="30" hidden="false" customHeight="true" outlineLevel="0" collapsed="false">
      <c r="A1" s="1" t="s">
        <v>95</v>
      </c>
      <c r="B1" s="1" t="s">
        <v>0</v>
      </c>
      <c r="C1" s="1" t="s">
        <v>1</v>
      </c>
      <c r="D1" s="1" t="s">
        <v>2</v>
      </c>
      <c r="E1" s="1" t="s">
        <v>96</v>
      </c>
      <c r="F1" s="1" t="s">
        <v>97</v>
      </c>
      <c r="G1" s="1" t="s">
        <v>98</v>
      </c>
      <c r="H1" s="1" t="s">
        <v>99</v>
      </c>
      <c r="I1" s="1" t="s">
        <v>100</v>
      </c>
      <c r="J1" s="1" t="s">
        <v>101</v>
      </c>
    </row>
    <row r="2" customFormat="false" ht="15" hidden="false" customHeight="false" outlineLevel="0" collapsed="false">
      <c r="A2" s="2" t="s">
        <v>4</v>
      </c>
      <c r="B2" s="2" t="s">
        <v>253</v>
      </c>
      <c r="C2" s="2" t="s">
        <v>35</v>
      </c>
      <c r="D2" s="3" t="s">
        <v>44</v>
      </c>
      <c r="E2" s="7" t="n">
        <v>17</v>
      </c>
      <c r="F2" s="7" t="s">
        <v>102</v>
      </c>
      <c r="G2" s="7"/>
      <c r="H2" s="8"/>
      <c r="I2" s="9" t="str">
        <f aca="false">IF(OR(E2="",H2=""),"",E2*H2)</f>
        <v/>
      </c>
      <c r="J2" s="10" t="s">
        <v>136</v>
      </c>
    </row>
    <row r="3" customFormat="false" ht="15" hidden="false" customHeight="false" outlineLevel="0" collapsed="false">
      <c r="A3" s="2" t="s">
        <v>4</v>
      </c>
      <c r="B3" s="2" t="s">
        <v>253</v>
      </c>
      <c r="C3" s="2" t="s">
        <v>35</v>
      </c>
      <c r="D3" s="3" t="s">
        <v>45</v>
      </c>
      <c r="E3" s="7" t="n">
        <v>9</v>
      </c>
      <c r="F3" s="7" t="s">
        <v>102</v>
      </c>
      <c r="G3" s="7"/>
      <c r="H3" s="8"/>
      <c r="I3" s="9" t="str">
        <f aca="false">IF(OR(E3="",H3=""),"",E3*H3)</f>
        <v/>
      </c>
      <c r="J3" s="10" t="s">
        <v>136</v>
      </c>
    </row>
    <row r="4" customFormat="false" ht="15" hidden="false" customHeight="false" outlineLevel="0" collapsed="false">
      <c r="A4" s="2" t="s">
        <v>4</v>
      </c>
      <c r="B4" s="2" t="s">
        <v>253</v>
      </c>
      <c r="C4" s="2" t="s">
        <v>35</v>
      </c>
      <c r="D4" s="3" t="s">
        <v>46</v>
      </c>
      <c r="E4" s="7" t="n">
        <v>6</v>
      </c>
      <c r="F4" s="7" t="s">
        <v>102</v>
      </c>
      <c r="G4" s="7"/>
      <c r="H4" s="8"/>
      <c r="I4" s="9" t="str">
        <f aca="false">IF(OR(E4="",H4=""),"",E4*H4)</f>
        <v/>
      </c>
      <c r="J4" s="10" t="s">
        <v>136</v>
      </c>
    </row>
    <row r="5" customFormat="false" ht="15" hidden="false" customHeight="false" outlineLevel="0" collapsed="false">
      <c r="A5" s="2" t="s">
        <v>4</v>
      </c>
      <c r="B5" s="2" t="s">
        <v>258</v>
      </c>
      <c r="C5" s="2" t="s">
        <v>35</v>
      </c>
      <c r="D5" s="3" t="s">
        <v>45</v>
      </c>
      <c r="E5" s="7" t="n">
        <v>9</v>
      </c>
      <c r="F5" s="7" t="s">
        <v>102</v>
      </c>
      <c r="G5" s="7"/>
      <c r="H5" s="8"/>
      <c r="I5" s="9" t="str">
        <f aca="false">IF(OR(E5="",H5=""),"",E5*H5)</f>
        <v/>
      </c>
      <c r="J5" s="10" t="s">
        <v>136</v>
      </c>
    </row>
    <row r="6" customFormat="false" ht="15" hidden="false" customHeight="false" outlineLevel="0" collapsed="false">
      <c r="A6" s="2" t="s">
        <v>4</v>
      </c>
      <c r="B6" s="2" t="s">
        <v>258</v>
      </c>
      <c r="C6" s="2" t="s">
        <v>35</v>
      </c>
      <c r="D6" s="3" t="s">
        <v>46</v>
      </c>
      <c r="E6" s="7" t="n">
        <v>13</v>
      </c>
      <c r="F6" s="7" t="s">
        <v>102</v>
      </c>
      <c r="G6" s="7"/>
      <c r="H6" s="8"/>
      <c r="I6" s="9" t="str">
        <f aca="false">IF(OR(E6="",H6=""),"",E6*H6)</f>
        <v/>
      </c>
      <c r="J6" s="10" t="s">
        <v>136</v>
      </c>
    </row>
    <row r="7" customFormat="false" ht="15" hidden="false" customHeight="false" outlineLevel="0" collapsed="false">
      <c r="A7" s="2" t="s">
        <v>4</v>
      </c>
      <c r="B7" s="2" t="s">
        <v>258</v>
      </c>
      <c r="C7" s="2" t="s">
        <v>35</v>
      </c>
      <c r="D7" s="3" t="s">
        <v>261</v>
      </c>
      <c r="E7" s="7" t="n">
        <v>1</v>
      </c>
      <c r="F7" s="7" t="s">
        <v>102</v>
      </c>
      <c r="G7" s="7"/>
      <c r="H7" s="8"/>
      <c r="I7" s="9" t="str">
        <f aca="false">IF(OR(E7="",H7=""),"",E7*H7)</f>
        <v/>
      </c>
      <c r="J7" s="10" t="s">
        <v>303</v>
      </c>
    </row>
    <row r="8" customFormat="false" ht="15" hidden="false" customHeight="false" outlineLevel="0" collapsed="false">
      <c r="A8" s="2" t="s">
        <v>3</v>
      </c>
      <c r="B8" s="2" t="s">
        <v>253</v>
      </c>
      <c r="C8" s="2" t="s">
        <v>35</v>
      </c>
      <c r="D8" s="3" t="s">
        <v>42</v>
      </c>
      <c r="E8" s="7" t="n">
        <v>13</v>
      </c>
      <c r="F8" s="7" t="s">
        <v>102</v>
      </c>
      <c r="G8" s="7"/>
      <c r="H8" s="8"/>
      <c r="I8" s="9" t="str">
        <f aca="false">IF(OR(E8="",H8=""),"",E8*H8)</f>
        <v/>
      </c>
      <c r="J8" s="10" t="s">
        <v>121</v>
      </c>
    </row>
    <row r="9" customFormat="false" ht="15" hidden="false" customHeight="false" outlineLevel="0" collapsed="false">
      <c r="A9" s="2" t="s">
        <v>3</v>
      </c>
      <c r="B9" s="2" t="s">
        <v>253</v>
      </c>
      <c r="C9" s="2" t="s">
        <v>35</v>
      </c>
      <c r="D9" s="3" t="s">
        <v>43</v>
      </c>
      <c r="E9" s="7" t="n">
        <v>18</v>
      </c>
      <c r="F9" s="7" t="s">
        <v>102</v>
      </c>
      <c r="G9" s="7"/>
      <c r="H9" s="8"/>
      <c r="I9" s="9" t="str">
        <f aca="false">IF(OR(E9="",H9=""),"",E9*H9)</f>
        <v/>
      </c>
      <c r="J9" s="10" t="s">
        <v>121</v>
      </c>
    </row>
    <row r="10" customFormat="false" ht="15" hidden="false" customHeight="false" outlineLevel="0" collapsed="false">
      <c r="A10" s="2" t="s">
        <v>3</v>
      </c>
      <c r="B10" s="2" t="s">
        <v>253</v>
      </c>
      <c r="C10" s="2" t="s">
        <v>35</v>
      </c>
      <c r="D10" s="3" t="s">
        <v>44</v>
      </c>
      <c r="E10" s="7" t="n">
        <v>31</v>
      </c>
      <c r="F10" s="7" t="s">
        <v>102</v>
      </c>
      <c r="G10" s="7"/>
      <c r="H10" s="8"/>
      <c r="I10" s="9" t="str">
        <f aca="false">IF(OR(E10="",H10=""),"",E10*H10)</f>
        <v/>
      </c>
      <c r="J10" s="10" t="s">
        <v>121</v>
      </c>
    </row>
    <row r="11" customFormat="false" ht="23.85" hidden="false" customHeight="false" outlineLevel="0" collapsed="false">
      <c r="A11" s="2" t="s">
        <v>3</v>
      </c>
      <c r="B11" s="2" t="s">
        <v>253</v>
      </c>
      <c r="C11" s="2" t="s">
        <v>35</v>
      </c>
      <c r="D11" s="3" t="s">
        <v>46</v>
      </c>
      <c r="E11" s="7" t="n">
        <v>34</v>
      </c>
      <c r="F11" s="7" t="s">
        <v>102</v>
      </c>
      <c r="G11" s="7"/>
      <c r="H11" s="8"/>
      <c r="I11" s="9" t="str">
        <f aca="false">IF(OR(E11="",H11=""),"",E11*H11)</f>
        <v/>
      </c>
      <c r="J11" s="10" t="s">
        <v>304</v>
      </c>
    </row>
    <row r="12" customFormat="false" ht="15" hidden="false" customHeight="false" outlineLevel="0" collapsed="false">
      <c r="A12" s="2" t="s">
        <v>3</v>
      </c>
      <c r="B12" s="2" t="s">
        <v>253</v>
      </c>
      <c r="C12" s="2" t="s">
        <v>35</v>
      </c>
      <c r="D12" s="3" t="s">
        <v>45</v>
      </c>
      <c r="E12" s="7" t="n">
        <v>86</v>
      </c>
      <c r="F12" s="7" t="s">
        <v>102</v>
      </c>
      <c r="G12" s="7"/>
      <c r="H12" s="8"/>
      <c r="I12" s="9" t="str">
        <f aca="false">IF(OR(E12="",H12=""),"",E12*H12)</f>
        <v/>
      </c>
      <c r="J12" s="10" t="s">
        <v>121</v>
      </c>
    </row>
    <row r="13" customFormat="false" ht="23.85" hidden="false" customHeight="false" outlineLevel="0" collapsed="false">
      <c r="A13" s="2" t="s">
        <v>3</v>
      </c>
      <c r="B13" s="2" t="s">
        <v>253</v>
      </c>
      <c r="C13" s="2" t="s">
        <v>35</v>
      </c>
      <c r="D13" s="3" t="s">
        <v>37</v>
      </c>
      <c r="E13" s="7" t="n">
        <v>1</v>
      </c>
      <c r="F13" s="7" t="s">
        <v>102</v>
      </c>
      <c r="G13" s="7"/>
      <c r="H13" s="8"/>
      <c r="I13" s="9" t="str">
        <f aca="false">IF(OR(E13="",H13=""),"",E13*H13)</f>
        <v/>
      </c>
      <c r="J13" s="10" t="s">
        <v>118</v>
      </c>
    </row>
    <row r="14" customFormat="false" ht="23.85" hidden="false" customHeight="false" outlineLevel="0" collapsed="false">
      <c r="A14" s="2" t="s">
        <v>3</v>
      </c>
      <c r="B14" s="2" t="s">
        <v>258</v>
      </c>
      <c r="C14" s="2" t="s">
        <v>35</v>
      </c>
      <c r="D14" s="3" t="s">
        <v>45</v>
      </c>
      <c r="E14" s="7" t="n">
        <v>1</v>
      </c>
      <c r="F14" s="7" t="s">
        <v>102</v>
      </c>
      <c r="G14" s="7"/>
      <c r="H14" s="8"/>
      <c r="I14" s="9" t="str">
        <f aca="false">IF(OR(E14="",H14=""),"",E14*H14)</f>
        <v/>
      </c>
      <c r="J14" s="10" t="s">
        <v>118</v>
      </c>
    </row>
    <row r="15" customFormat="false" ht="15" hidden="false" customHeight="false" outlineLevel="0" collapsed="false">
      <c r="A15" s="2" t="s">
        <v>3</v>
      </c>
      <c r="B15" s="2" t="s">
        <v>297</v>
      </c>
      <c r="C15" s="2" t="s">
        <v>35</v>
      </c>
      <c r="D15" s="3" t="s">
        <v>45</v>
      </c>
      <c r="E15" s="7" t="n">
        <v>20</v>
      </c>
      <c r="F15" s="7" t="s">
        <v>102</v>
      </c>
      <c r="G15" s="7"/>
      <c r="H15" s="8"/>
      <c r="I15" s="9" t="str">
        <f aca="false">IF(OR(E15="",H15=""),"",E15*H15)</f>
        <v/>
      </c>
      <c r="J15" s="10" t="s">
        <v>121</v>
      </c>
    </row>
    <row r="16" customFormat="false" ht="23.85" hidden="false" customHeight="false" outlineLevel="0" collapsed="false">
      <c r="A16" s="2" t="s">
        <v>3</v>
      </c>
      <c r="B16" s="2" t="s">
        <v>297</v>
      </c>
      <c r="C16" s="2" t="s">
        <v>35</v>
      </c>
      <c r="D16" s="3" t="s">
        <v>44</v>
      </c>
      <c r="E16" s="7" t="n">
        <v>1</v>
      </c>
      <c r="F16" s="7" t="s">
        <v>102</v>
      </c>
      <c r="G16" s="7"/>
      <c r="H16" s="8"/>
      <c r="I16" s="9" t="str">
        <f aca="false">IF(OR(E16="",H16=""),"",E16*H16)</f>
        <v/>
      </c>
      <c r="J16" s="10" t="s">
        <v>305</v>
      </c>
    </row>
    <row r="17" customFormat="false" ht="15" hidden="false" customHeight="false" outlineLevel="0" collapsed="false">
      <c r="A17" s="2" t="s">
        <v>3</v>
      </c>
      <c r="B17" s="2" t="s">
        <v>298</v>
      </c>
      <c r="C17" s="2" t="s">
        <v>56</v>
      </c>
      <c r="D17" s="3" t="s">
        <v>27</v>
      </c>
      <c r="E17" s="7" t="n">
        <v>4</v>
      </c>
      <c r="F17" s="7" t="s">
        <v>102</v>
      </c>
      <c r="G17" s="7"/>
      <c r="H17" s="8"/>
      <c r="I17" s="9" t="str">
        <f aca="false">IF(OR(E17="",H17=""),"",E17*H17)</f>
        <v/>
      </c>
      <c r="J17" s="10" t="s">
        <v>121</v>
      </c>
    </row>
    <row r="18" customFormat="false" ht="15" hidden="false" customHeight="false" outlineLevel="0" collapsed="false">
      <c r="A18" s="12"/>
      <c r="B18" s="12"/>
      <c r="C18" s="12"/>
      <c r="D18" s="13"/>
      <c r="E18" s="12"/>
      <c r="F18" s="12"/>
      <c r="G18" s="12"/>
      <c r="H18" s="14"/>
      <c r="I18" s="15" t="str">
        <f aca="false">IF(OR(E18="",H18=""),"",E18*H18)</f>
        <v/>
      </c>
      <c r="J18" s="12"/>
    </row>
    <row r="19" customFormat="false" ht="15" hidden="false" customHeight="false" outlineLevel="0" collapsed="false">
      <c r="A19" s="12"/>
      <c r="B19" s="12"/>
      <c r="C19" s="12"/>
      <c r="D19" s="13"/>
      <c r="E19" s="12"/>
      <c r="F19" s="12"/>
      <c r="G19" s="12"/>
      <c r="H19" s="14"/>
      <c r="I19" s="15" t="str">
        <f aca="false">IF(OR(E19="",H19=""),"",E19*H19)</f>
        <v/>
      </c>
      <c r="J19" s="12"/>
    </row>
    <row r="20" customFormat="false" ht="15" hidden="false" customHeight="false" outlineLevel="0" collapsed="false">
      <c r="A20" s="12"/>
      <c r="B20" s="12"/>
      <c r="C20" s="12"/>
      <c r="D20" s="13"/>
      <c r="E20" s="12"/>
      <c r="F20" s="12"/>
      <c r="G20" s="12"/>
      <c r="H20" s="14"/>
      <c r="I20" s="15" t="str">
        <f aca="false">IF(OR(E20="",H20=""),"",E20*H20)</f>
        <v/>
      </c>
      <c r="J20" s="12"/>
    </row>
    <row r="21" customFormat="false" ht="15" hidden="false" customHeight="false" outlineLevel="0" collapsed="false">
      <c r="A21" s="12"/>
      <c r="B21" s="12"/>
      <c r="C21" s="12"/>
      <c r="D21" s="13"/>
      <c r="E21" s="12"/>
      <c r="F21" s="12"/>
      <c r="G21" s="12"/>
      <c r="H21" s="14"/>
      <c r="I21" s="15" t="str">
        <f aca="false">IF(OR(E21="",H21=""),"",E21*H21)</f>
        <v/>
      </c>
      <c r="J21" s="12"/>
    </row>
    <row r="22" customFormat="false" ht="15" hidden="false" customHeight="false" outlineLevel="0" collapsed="false">
      <c r="A22" s="12"/>
      <c r="B22" s="12"/>
      <c r="C22" s="12"/>
      <c r="D22" s="13"/>
      <c r="E22" s="12"/>
      <c r="F22" s="12"/>
      <c r="G22" s="12"/>
      <c r="H22" s="14"/>
      <c r="I22" s="15" t="str">
        <f aca="false">IF(OR(E22="",H22=""),"",E22*H22)</f>
        <v/>
      </c>
      <c r="J22" s="12"/>
    </row>
    <row r="23" customFormat="false" ht="15" hidden="false" customHeight="false" outlineLevel="0" collapsed="false">
      <c r="A23" s="12"/>
      <c r="B23" s="12"/>
      <c r="C23" s="12"/>
      <c r="D23" s="13"/>
      <c r="E23" s="12"/>
      <c r="F23" s="12"/>
      <c r="G23" s="12"/>
      <c r="H23" s="14"/>
      <c r="I23" s="15" t="str">
        <f aca="false">IF(OR(E23="",H23=""),"",E23*H23)</f>
        <v/>
      </c>
      <c r="J23" s="12"/>
    </row>
    <row r="24" customFormat="false" ht="15" hidden="false" customHeight="false" outlineLevel="0" collapsed="false">
      <c r="A24" s="12"/>
      <c r="B24" s="12"/>
      <c r="C24" s="12"/>
      <c r="D24" s="13"/>
      <c r="E24" s="12"/>
      <c r="F24" s="12"/>
      <c r="G24" s="12"/>
      <c r="H24" s="14"/>
      <c r="I24" s="15" t="str">
        <f aca="false">IF(OR(E24="",H24=""),"",E24*H24)</f>
        <v/>
      </c>
      <c r="J24" s="12"/>
    </row>
    <row r="25" customFormat="false" ht="15" hidden="false" customHeight="false" outlineLevel="0" collapsed="false">
      <c r="A25" s="12"/>
      <c r="B25" s="12"/>
      <c r="C25" s="12"/>
      <c r="D25" s="13"/>
      <c r="E25" s="12"/>
      <c r="F25" s="12"/>
      <c r="G25" s="12"/>
      <c r="H25" s="14"/>
      <c r="I25" s="15" t="str">
        <f aca="false">IF(OR(E25="",H25=""),"",E25*H25)</f>
        <v/>
      </c>
      <c r="J25" s="12"/>
    </row>
    <row r="26" customFormat="false" ht="15" hidden="false" customHeight="false" outlineLevel="0" collapsed="false">
      <c r="A26" s="12"/>
      <c r="B26" s="12"/>
      <c r="C26" s="12"/>
      <c r="D26" s="13"/>
      <c r="E26" s="12"/>
      <c r="F26" s="12"/>
      <c r="G26" s="12"/>
      <c r="H26" s="14"/>
      <c r="I26" s="15" t="str">
        <f aca="false">IF(OR(E26="",H26=""),"",E26*H26)</f>
        <v/>
      </c>
      <c r="J26" s="12"/>
    </row>
    <row r="27" customFormat="false" ht="15" hidden="false" customHeight="false" outlineLevel="0" collapsed="false">
      <c r="A27" s="12"/>
      <c r="B27" s="12"/>
      <c r="C27" s="12"/>
      <c r="D27" s="13"/>
      <c r="E27" s="12"/>
      <c r="F27" s="12"/>
      <c r="G27" s="12"/>
      <c r="H27" s="14"/>
      <c r="I27" s="15" t="str">
        <f aca="false">IF(OR(E27="",H27=""),"",E27*H27)</f>
        <v/>
      </c>
      <c r="J27" s="12"/>
    </row>
    <row r="28" customFormat="false" ht="15" hidden="false" customHeight="false" outlineLevel="0" collapsed="false">
      <c r="A28" s="12"/>
      <c r="B28" s="12"/>
      <c r="C28" s="12"/>
      <c r="D28" s="13"/>
      <c r="E28" s="12"/>
      <c r="F28" s="12"/>
      <c r="G28" s="12"/>
      <c r="H28" s="14"/>
      <c r="I28" s="15" t="str">
        <f aca="false">IF(OR(E28="",H28=""),"",E28*H28)</f>
        <v/>
      </c>
      <c r="J28" s="12"/>
    </row>
    <row r="29" customFormat="false" ht="15" hidden="false" customHeight="false" outlineLevel="0" collapsed="false">
      <c r="A29" s="12"/>
      <c r="B29" s="12"/>
      <c r="C29" s="12"/>
      <c r="D29" s="13"/>
      <c r="E29" s="12"/>
      <c r="F29" s="12"/>
      <c r="G29" s="12"/>
      <c r="H29" s="14"/>
      <c r="I29" s="15" t="str">
        <f aca="false">IF(OR(E29="",H29=""),"",E29*H29)</f>
        <v/>
      </c>
      <c r="J29" s="12"/>
    </row>
    <row r="30" customFormat="false" ht="15" hidden="false" customHeight="false" outlineLevel="0" collapsed="false">
      <c r="A30" s="12"/>
      <c r="B30" s="12"/>
      <c r="C30" s="12"/>
      <c r="D30" s="13"/>
      <c r="E30" s="12"/>
      <c r="F30" s="12"/>
      <c r="G30" s="12"/>
      <c r="H30" s="14"/>
      <c r="I30" s="15" t="str">
        <f aca="false">IF(OR(E30="",H30=""),"",E30*H30)</f>
        <v/>
      </c>
      <c r="J30" s="12"/>
    </row>
    <row r="31" customFormat="false" ht="15" hidden="false" customHeight="false" outlineLevel="0" collapsed="false">
      <c r="A31" s="12"/>
      <c r="B31" s="12"/>
      <c r="C31" s="12"/>
      <c r="D31" s="13"/>
      <c r="E31" s="12"/>
      <c r="F31" s="12"/>
      <c r="G31" s="12"/>
      <c r="H31" s="14"/>
      <c r="I31" s="15" t="str">
        <f aca="false">IF(OR(E31="",H31=""),"",E31*H31)</f>
        <v/>
      </c>
      <c r="J31" s="12"/>
    </row>
    <row r="32" customFormat="false" ht="15" hidden="false" customHeight="false" outlineLevel="0" collapsed="false">
      <c r="A32" s="12"/>
      <c r="B32" s="12"/>
      <c r="C32" s="12"/>
      <c r="D32" s="13"/>
      <c r="E32" s="12"/>
      <c r="F32" s="12"/>
      <c r="G32" s="12"/>
      <c r="H32" s="14"/>
      <c r="I32" s="15" t="str">
        <f aca="false">IF(OR(E32="",H32=""),"",E32*H32)</f>
        <v/>
      </c>
      <c r="J32" s="12"/>
    </row>
    <row r="33" customFormat="false" ht="15" hidden="false" customHeight="false" outlineLevel="0" collapsed="false">
      <c r="A33" s="12"/>
      <c r="B33" s="12"/>
      <c r="C33" s="12"/>
      <c r="D33" s="13"/>
      <c r="E33" s="12"/>
      <c r="F33" s="12"/>
      <c r="G33" s="12"/>
      <c r="H33" s="14"/>
      <c r="I33" s="15" t="str">
        <f aca="false">IF(OR(E33="",H33=""),"",E33*H33)</f>
        <v/>
      </c>
      <c r="J33" s="12"/>
    </row>
    <row r="34" customFormat="false" ht="15" hidden="false" customHeight="false" outlineLevel="0" collapsed="false">
      <c r="A34" s="12"/>
      <c r="B34" s="12"/>
      <c r="C34" s="12"/>
      <c r="D34" s="13"/>
      <c r="E34" s="12"/>
      <c r="F34" s="12"/>
      <c r="G34" s="12"/>
      <c r="H34" s="14"/>
      <c r="I34" s="15" t="str">
        <f aca="false">IF(OR(E34="",H34=""),"",E34*H34)</f>
        <v/>
      </c>
      <c r="J34" s="12"/>
    </row>
    <row r="35" customFormat="false" ht="15" hidden="false" customHeight="false" outlineLevel="0" collapsed="false">
      <c r="A35" s="12"/>
      <c r="B35" s="12"/>
      <c r="C35" s="12"/>
      <c r="D35" s="13"/>
      <c r="E35" s="12"/>
      <c r="F35" s="12"/>
      <c r="G35" s="12"/>
      <c r="H35" s="14"/>
      <c r="I35" s="15" t="str">
        <f aca="false">IF(OR(E35="",H35=""),"",E35*H35)</f>
        <v/>
      </c>
      <c r="J35" s="12"/>
    </row>
    <row r="36" customFormat="false" ht="15" hidden="false" customHeight="false" outlineLevel="0" collapsed="false">
      <c r="A36" s="12"/>
      <c r="B36" s="12"/>
      <c r="C36" s="12"/>
      <c r="D36" s="13"/>
      <c r="E36" s="12"/>
      <c r="F36" s="12"/>
      <c r="G36" s="12"/>
      <c r="H36" s="14"/>
      <c r="I36" s="15" t="str">
        <f aca="false">IF(OR(E36="",H36=""),"",E36*H36)</f>
        <v/>
      </c>
      <c r="J36" s="12"/>
    </row>
    <row r="37" customFormat="false" ht="15" hidden="false" customHeight="false" outlineLevel="0" collapsed="false">
      <c r="A37" s="12"/>
      <c r="B37" s="12"/>
      <c r="C37" s="12"/>
      <c r="D37" s="13"/>
      <c r="E37" s="12"/>
      <c r="F37" s="12"/>
      <c r="G37" s="12"/>
      <c r="H37" s="14"/>
      <c r="I37" s="15" t="str">
        <f aca="false">IF(OR(E37="",H37=""),"",E37*H37)</f>
        <v/>
      </c>
      <c r="J37" s="12"/>
    </row>
    <row r="38" customFormat="false" ht="15" hidden="false" customHeight="false" outlineLevel="0" collapsed="false">
      <c r="A38" s="12"/>
      <c r="B38" s="12"/>
      <c r="C38" s="12"/>
      <c r="D38" s="13"/>
      <c r="E38" s="12"/>
      <c r="F38" s="12"/>
      <c r="G38" s="12"/>
      <c r="H38" s="14"/>
      <c r="I38" s="15" t="str">
        <f aca="false">IF(OR(E38="",H38=""),"",E38*H38)</f>
        <v/>
      </c>
      <c r="J38" s="12"/>
    </row>
    <row r="39" customFormat="false" ht="15" hidden="false" customHeight="false" outlineLevel="0" collapsed="false">
      <c r="A39" s="12"/>
      <c r="B39" s="12"/>
      <c r="C39" s="12"/>
      <c r="D39" s="13"/>
      <c r="E39" s="12"/>
      <c r="F39" s="12"/>
      <c r="G39" s="12"/>
      <c r="H39" s="14"/>
      <c r="I39" s="15" t="str">
        <f aca="false">IF(OR(E39="",H39=""),"",E39*H39)</f>
        <v/>
      </c>
      <c r="J39" s="12"/>
    </row>
    <row r="40" customFormat="false" ht="15" hidden="false" customHeight="false" outlineLevel="0" collapsed="false">
      <c r="A40" s="12"/>
      <c r="B40" s="12"/>
      <c r="C40" s="12"/>
      <c r="D40" s="13"/>
      <c r="E40" s="12"/>
      <c r="F40" s="12"/>
      <c r="G40" s="12"/>
      <c r="H40" s="14"/>
      <c r="I40" s="15" t="str">
        <f aca="false">IF(OR(E40="",H40=""),"",E40*H40)</f>
        <v/>
      </c>
      <c r="J40" s="12"/>
    </row>
    <row r="41" customFormat="false" ht="15" hidden="false" customHeight="false" outlineLevel="0" collapsed="false">
      <c r="A41" s="12"/>
      <c r="B41" s="12"/>
      <c r="C41" s="12"/>
      <c r="D41" s="13"/>
      <c r="E41" s="12"/>
      <c r="F41" s="12"/>
      <c r="G41" s="12"/>
      <c r="H41" s="14"/>
      <c r="I41" s="15" t="str">
        <f aca="false">IF(OR(E41="",H41=""),"",E41*H41)</f>
        <v/>
      </c>
      <c r="J41" s="12"/>
    </row>
    <row r="42" customFormat="false" ht="15" hidden="false" customHeight="false" outlineLevel="0" collapsed="false">
      <c r="A42" s="12"/>
      <c r="B42" s="12"/>
      <c r="C42" s="12"/>
      <c r="D42" s="13"/>
      <c r="E42" s="12"/>
      <c r="F42" s="12"/>
      <c r="G42" s="12"/>
      <c r="H42" s="14"/>
      <c r="I42" s="15" t="str">
        <f aca="false">IF(OR(E42="",H42=""),"",E42*H42)</f>
        <v/>
      </c>
      <c r="J42" s="12"/>
    </row>
    <row r="43" customFormat="false" ht="15" hidden="false" customHeight="false" outlineLevel="0" collapsed="false">
      <c r="A43" s="12"/>
      <c r="B43" s="12"/>
      <c r="C43" s="12"/>
      <c r="D43" s="13"/>
      <c r="E43" s="12"/>
      <c r="F43" s="12"/>
      <c r="G43" s="12"/>
      <c r="H43" s="14"/>
      <c r="I43" s="15" t="str">
        <f aca="false">IF(OR(E43="",H43=""),"",E43*H43)</f>
        <v/>
      </c>
      <c r="J43" s="12"/>
    </row>
    <row r="44" customFormat="false" ht="15" hidden="false" customHeight="false" outlineLevel="0" collapsed="false">
      <c r="A44" s="12"/>
      <c r="B44" s="12"/>
      <c r="C44" s="12"/>
      <c r="D44" s="13"/>
      <c r="E44" s="12"/>
      <c r="F44" s="12"/>
      <c r="G44" s="12"/>
      <c r="H44" s="14"/>
      <c r="I44" s="15" t="str">
        <f aca="false">IF(OR(E44="",H44=""),"",E44*H44)</f>
        <v/>
      </c>
      <c r="J44" s="12"/>
    </row>
    <row r="45" customFormat="false" ht="15" hidden="false" customHeight="false" outlineLevel="0" collapsed="false">
      <c r="A45" s="12"/>
      <c r="B45" s="12"/>
      <c r="C45" s="12"/>
      <c r="D45" s="13"/>
      <c r="E45" s="12"/>
      <c r="F45" s="12"/>
      <c r="G45" s="12"/>
      <c r="H45" s="14"/>
      <c r="I45" s="15" t="str">
        <f aca="false">IF(OR(E45="",H45=""),"",E45*H45)</f>
        <v/>
      </c>
      <c r="J45" s="12"/>
    </row>
    <row r="46" customFormat="false" ht="15" hidden="false" customHeight="false" outlineLevel="0" collapsed="false">
      <c r="A46" s="12"/>
      <c r="B46" s="12"/>
      <c r="C46" s="12"/>
      <c r="D46" s="13"/>
      <c r="E46" s="12"/>
      <c r="F46" s="12"/>
      <c r="G46" s="12"/>
      <c r="H46" s="14"/>
      <c r="I46" s="15" t="str">
        <f aca="false">IF(OR(E46="",H46=""),"",E46*H46)</f>
        <v/>
      </c>
      <c r="J46" s="12"/>
    </row>
    <row r="47" customFormat="false" ht="15" hidden="false" customHeight="false" outlineLevel="0" collapsed="false">
      <c r="A47" s="12"/>
      <c r="B47" s="12"/>
      <c r="C47" s="12"/>
      <c r="D47" s="13"/>
      <c r="E47" s="12"/>
      <c r="F47" s="12"/>
      <c r="G47" s="12"/>
      <c r="H47" s="14"/>
      <c r="I47" s="15" t="str">
        <f aca="false">IF(OR(E47="",H47=""),"",E47*H47)</f>
        <v/>
      </c>
      <c r="J47" s="12"/>
    </row>
    <row r="48" customFormat="false" ht="15" hidden="false" customHeight="false" outlineLevel="0" collapsed="false">
      <c r="A48" s="12"/>
      <c r="B48" s="12"/>
      <c r="C48" s="12"/>
      <c r="D48" s="13"/>
      <c r="E48" s="12"/>
      <c r="F48" s="12"/>
      <c r="G48" s="12"/>
      <c r="H48" s="14"/>
      <c r="I48" s="15" t="str">
        <f aca="false">IF(OR(E48="",H48=""),"",E48*H48)</f>
        <v/>
      </c>
      <c r="J48" s="12"/>
    </row>
    <row r="49" customFormat="false" ht="15" hidden="false" customHeight="false" outlineLevel="0" collapsed="false">
      <c r="A49" s="12"/>
      <c r="B49" s="12"/>
      <c r="C49" s="12"/>
      <c r="D49" s="13"/>
      <c r="E49" s="12"/>
      <c r="F49" s="12"/>
      <c r="G49" s="12"/>
      <c r="H49" s="14"/>
      <c r="I49" s="15" t="str">
        <f aca="false">IF(OR(E49="",H49=""),"",E49*H49)</f>
        <v/>
      </c>
      <c r="J49" s="12"/>
    </row>
    <row r="50" customFormat="false" ht="15" hidden="false" customHeight="false" outlineLevel="0" collapsed="false">
      <c r="A50" s="12"/>
      <c r="B50" s="12"/>
      <c r="C50" s="12"/>
      <c r="D50" s="13"/>
      <c r="E50" s="12"/>
      <c r="F50" s="12"/>
      <c r="G50" s="12"/>
      <c r="H50" s="14"/>
      <c r="I50" s="15" t="str">
        <f aca="false">IF(OR(E50="",H50=""),"",E50*H50)</f>
        <v/>
      </c>
      <c r="J50" s="12"/>
    </row>
    <row r="51" customFormat="false" ht="15" hidden="false" customHeight="false" outlineLevel="0" collapsed="false">
      <c r="A51" s="12"/>
      <c r="B51" s="12"/>
      <c r="C51" s="12"/>
      <c r="D51" s="13"/>
      <c r="E51" s="12"/>
      <c r="F51" s="12"/>
      <c r="G51" s="12"/>
      <c r="H51" s="14"/>
      <c r="I51" s="15" t="str">
        <f aca="false">IF(OR(E51="",H51=""),"",E51*H51)</f>
        <v/>
      </c>
      <c r="J51" s="12"/>
    </row>
    <row r="52" customFormat="false" ht="15" hidden="false" customHeight="false" outlineLevel="0" collapsed="false">
      <c r="A52" s="12"/>
      <c r="B52" s="12"/>
      <c r="C52" s="12"/>
      <c r="D52" s="13"/>
      <c r="E52" s="12"/>
      <c r="F52" s="12"/>
      <c r="G52" s="12"/>
      <c r="H52" s="14"/>
      <c r="I52" s="15" t="str">
        <f aca="false">IF(OR(E52="",H52=""),"",E52*H52)</f>
        <v/>
      </c>
      <c r="J52" s="12"/>
    </row>
    <row r="53" customFormat="false" ht="15" hidden="false" customHeight="false" outlineLevel="0" collapsed="false">
      <c r="A53" s="12"/>
      <c r="B53" s="12"/>
      <c r="C53" s="12"/>
      <c r="D53" s="13"/>
      <c r="E53" s="12"/>
      <c r="F53" s="12"/>
      <c r="G53" s="12"/>
      <c r="H53" s="14"/>
      <c r="I53" s="15" t="str">
        <f aca="false">IF(OR(E53="",H53=""),"",E53*H53)</f>
        <v/>
      </c>
      <c r="J53" s="12"/>
    </row>
    <row r="54" customFormat="false" ht="15" hidden="false" customHeight="false" outlineLevel="0" collapsed="false">
      <c r="A54" s="12"/>
      <c r="B54" s="12"/>
      <c r="C54" s="12"/>
      <c r="D54" s="13"/>
      <c r="E54" s="12"/>
      <c r="F54" s="12"/>
      <c r="G54" s="12"/>
      <c r="H54" s="14"/>
      <c r="I54" s="15" t="str">
        <f aca="false">IF(OR(E54="",H54=""),"",E54*H54)</f>
        <v/>
      </c>
      <c r="J54" s="12"/>
    </row>
    <row r="55" customFormat="false" ht="15" hidden="false" customHeight="false" outlineLevel="0" collapsed="false">
      <c r="A55" s="12"/>
      <c r="B55" s="12"/>
      <c r="C55" s="12"/>
      <c r="D55" s="13"/>
      <c r="E55" s="12"/>
      <c r="F55" s="12"/>
      <c r="G55" s="12"/>
      <c r="H55" s="14"/>
      <c r="I55" s="15" t="str">
        <f aca="false">IF(OR(E55="",H55=""),"",E55*H55)</f>
        <v/>
      </c>
      <c r="J55" s="12"/>
    </row>
    <row r="56" customFormat="false" ht="15" hidden="false" customHeight="false" outlineLevel="0" collapsed="false">
      <c r="A56" s="12"/>
      <c r="B56" s="12"/>
      <c r="C56" s="12"/>
      <c r="D56" s="13"/>
      <c r="E56" s="12"/>
      <c r="F56" s="12"/>
      <c r="G56" s="12"/>
      <c r="H56" s="14"/>
      <c r="I56" s="15" t="str">
        <f aca="false">IF(OR(E56="",H56=""),"",E56*H56)</f>
        <v/>
      </c>
      <c r="J56" s="12"/>
    </row>
    <row r="57" customFormat="false" ht="15" hidden="false" customHeight="false" outlineLevel="0" collapsed="false">
      <c r="A57" s="12"/>
      <c r="B57" s="12"/>
      <c r="C57" s="12"/>
      <c r="D57" s="13"/>
      <c r="E57" s="12"/>
      <c r="F57" s="12"/>
      <c r="G57" s="12"/>
      <c r="H57" s="14"/>
      <c r="I57" s="15" t="str">
        <f aca="false">IF(OR(E57="",H57=""),"",E57*H57)</f>
        <v/>
      </c>
      <c r="J57" s="12"/>
    </row>
    <row r="58" customFormat="false" ht="15" hidden="false" customHeight="false" outlineLevel="0" collapsed="false">
      <c r="A58" s="12"/>
      <c r="B58" s="12"/>
      <c r="C58" s="12"/>
      <c r="D58" s="13"/>
      <c r="E58" s="12"/>
      <c r="F58" s="12"/>
      <c r="G58" s="12"/>
      <c r="H58" s="14"/>
      <c r="I58" s="15" t="str">
        <f aca="false">IF(OR(E58="",H58=""),"",E58*H58)</f>
        <v/>
      </c>
      <c r="J58" s="12"/>
    </row>
    <row r="59" customFormat="false" ht="15" hidden="false" customHeight="false" outlineLevel="0" collapsed="false">
      <c r="A59" s="12"/>
      <c r="B59" s="12"/>
      <c r="C59" s="12"/>
      <c r="D59" s="13"/>
      <c r="E59" s="12"/>
      <c r="F59" s="12"/>
      <c r="G59" s="12"/>
      <c r="H59" s="14"/>
      <c r="I59" s="15" t="str">
        <f aca="false">IF(OR(E59="",H59=""),"",E59*H59)</f>
        <v/>
      </c>
      <c r="J59" s="12"/>
    </row>
    <row r="60" customFormat="false" ht="15" hidden="false" customHeight="false" outlineLevel="0" collapsed="false">
      <c r="A60" s="12"/>
      <c r="B60" s="12"/>
      <c r="C60" s="12"/>
      <c r="D60" s="13"/>
      <c r="E60" s="12"/>
      <c r="F60" s="12"/>
      <c r="G60" s="12"/>
      <c r="H60" s="14"/>
      <c r="I60" s="15" t="str">
        <f aca="false">IF(OR(E60="",H60=""),"",E60*H60)</f>
        <v/>
      </c>
      <c r="J60" s="12"/>
    </row>
    <row r="61" customFormat="false" ht="15" hidden="false" customHeight="false" outlineLevel="0" collapsed="false">
      <c r="A61" s="12"/>
      <c r="B61" s="12"/>
      <c r="C61" s="12"/>
      <c r="D61" s="13"/>
      <c r="E61" s="12"/>
      <c r="F61" s="12"/>
      <c r="G61" s="12"/>
      <c r="H61" s="14"/>
      <c r="I61" s="15" t="str">
        <f aca="false">IF(OR(E61="",H61=""),"",E61*H61)</f>
        <v/>
      </c>
      <c r="J61" s="12"/>
    </row>
    <row r="62" customFormat="false" ht="15" hidden="false" customHeight="false" outlineLevel="0" collapsed="false">
      <c r="A62" s="12"/>
      <c r="B62" s="12"/>
      <c r="C62" s="12"/>
      <c r="D62" s="13"/>
      <c r="E62" s="12"/>
      <c r="F62" s="12"/>
      <c r="G62" s="12"/>
      <c r="H62" s="14"/>
      <c r="I62" s="15" t="str">
        <f aca="false">IF(OR(E62="",H62=""),"",E62*H62)</f>
        <v/>
      </c>
      <c r="J62" s="12"/>
    </row>
    <row r="63" customFormat="false" ht="15" hidden="false" customHeight="false" outlineLevel="0" collapsed="false">
      <c r="A63" s="12"/>
      <c r="B63" s="12"/>
      <c r="C63" s="12"/>
      <c r="D63" s="13"/>
      <c r="E63" s="12"/>
      <c r="F63" s="12"/>
      <c r="G63" s="12"/>
      <c r="H63" s="14"/>
      <c r="I63" s="15" t="str">
        <f aca="false">IF(OR(E63="",H63=""),"",E63*H63)</f>
        <v/>
      </c>
      <c r="J63" s="12"/>
    </row>
    <row r="64" customFormat="false" ht="15" hidden="false" customHeight="false" outlineLevel="0" collapsed="false">
      <c r="A64" s="12"/>
      <c r="B64" s="12"/>
      <c r="C64" s="12"/>
      <c r="D64" s="13"/>
      <c r="E64" s="12"/>
      <c r="F64" s="12"/>
      <c r="G64" s="12"/>
      <c r="H64" s="14"/>
      <c r="I64" s="15" t="str">
        <f aca="false">IF(OR(E64="",H64=""),"",E64*H64)</f>
        <v/>
      </c>
      <c r="J64" s="12"/>
    </row>
    <row r="65" customFormat="false" ht="15" hidden="false" customHeight="false" outlineLevel="0" collapsed="false">
      <c r="A65" s="12"/>
      <c r="B65" s="12"/>
      <c r="C65" s="12"/>
      <c r="D65" s="13"/>
      <c r="E65" s="12"/>
      <c r="F65" s="12"/>
      <c r="G65" s="12"/>
      <c r="H65" s="14"/>
      <c r="I65" s="15" t="str">
        <f aca="false">IF(OR(E65="",H65=""),"",E65*H65)</f>
        <v/>
      </c>
      <c r="J65" s="12"/>
    </row>
    <row r="66" customFormat="false" ht="15" hidden="false" customHeight="false" outlineLevel="0" collapsed="false">
      <c r="A66" s="12"/>
      <c r="B66" s="12"/>
      <c r="C66" s="12"/>
      <c r="D66" s="13"/>
      <c r="E66" s="12"/>
      <c r="F66" s="12"/>
      <c r="G66" s="12"/>
      <c r="H66" s="14"/>
      <c r="I66" s="15" t="str">
        <f aca="false">IF(OR(E66="",H66=""),"",E66*H66)</f>
        <v/>
      </c>
      <c r="J66" s="12"/>
    </row>
    <row r="67" customFormat="false" ht="15" hidden="false" customHeight="false" outlineLevel="0" collapsed="false">
      <c r="A67" s="12"/>
      <c r="B67" s="12"/>
      <c r="C67" s="12"/>
      <c r="D67" s="13"/>
      <c r="E67" s="12"/>
      <c r="F67" s="12"/>
      <c r="G67" s="12"/>
      <c r="H67" s="14"/>
      <c r="I67" s="15" t="str">
        <f aca="false">IF(OR(E67="",H67=""),"",E67*H67)</f>
        <v/>
      </c>
      <c r="J67" s="12"/>
    </row>
    <row r="68" customFormat="false" ht="15" hidden="false" customHeight="false" outlineLevel="0" collapsed="false">
      <c r="A68" s="12"/>
      <c r="B68" s="12"/>
      <c r="C68" s="12"/>
      <c r="D68" s="13"/>
      <c r="E68" s="12"/>
      <c r="F68" s="12"/>
      <c r="G68" s="12"/>
      <c r="H68" s="14"/>
      <c r="I68" s="15" t="str">
        <f aca="false">IF(OR(E68="",H68=""),"",E68*H68)</f>
        <v/>
      </c>
      <c r="J68" s="12"/>
    </row>
    <row r="69" customFormat="false" ht="15" hidden="false" customHeight="false" outlineLevel="0" collapsed="false">
      <c r="A69" s="12"/>
      <c r="B69" s="12"/>
      <c r="C69" s="12"/>
      <c r="D69" s="13"/>
      <c r="E69" s="12"/>
      <c r="F69" s="12"/>
      <c r="G69" s="12"/>
      <c r="H69" s="14"/>
      <c r="I69" s="15" t="str">
        <f aca="false">IF(OR(E69="",H69=""),"",E69*H69)</f>
        <v/>
      </c>
      <c r="J69" s="12"/>
    </row>
    <row r="70" customFormat="false" ht="15" hidden="false" customHeight="false" outlineLevel="0" collapsed="false">
      <c r="A70" s="12"/>
      <c r="B70" s="12"/>
      <c r="C70" s="12"/>
      <c r="D70" s="13"/>
      <c r="E70" s="12"/>
      <c r="F70" s="12"/>
      <c r="G70" s="12"/>
      <c r="H70" s="14"/>
      <c r="I70" s="15" t="str">
        <f aca="false">IF(OR(E70="",H70=""),"",E70*H70)</f>
        <v/>
      </c>
      <c r="J70" s="12"/>
    </row>
    <row r="71" customFormat="false" ht="15" hidden="false" customHeight="false" outlineLevel="0" collapsed="false">
      <c r="A71" s="12"/>
      <c r="B71" s="12"/>
      <c r="C71" s="12"/>
      <c r="D71" s="13"/>
      <c r="E71" s="12"/>
      <c r="F71" s="12"/>
      <c r="G71" s="12"/>
      <c r="H71" s="14"/>
      <c r="I71" s="15" t="str">
        <f aca="false">IF(OR(E71="",H71=""),"",E71*H71)</f>
        <v/>
      </c>
      <c r="J71" s="12"/>
    </row>
    <row r="72" customFormat="false" ht="15" hidden="false" customHeight="false" outlineLevel="0" collapsed="false">
      <c r="A72" s="12"/>
      <c r="B72" s="12"/>
      <c r="C72" s="12"/>
      <c r="D72" s="13"/>
      <c r="E72" s="12"/>
      <c r="F72" s="12"/>
      <c r="G72" s="12"/>
      <c r="H72" s="14"/>
      <c r="I72" s="15" t="str">
        <f aca="false">IF(OR(E72="",H72=""),"",E72*H72)</f>
        <v/>
      </c>
      <c r="J72" s="12"/>
    </row>
    <row r="73" customFormat="false" ht="15" hidden="false" customHeight="false" outlineLevel="0" collapsed="false">
      <c r="A73" s="12"/>
      <c r="B73" s="12"/>
      <c r="C73" s="12"/>
      <c r="D73" s="13"/>
      <c r="E73" s="12"/>
      <c r="F73" s="12"/>
      <c r="G73" s="12"/>
      <c r="H73" s="14"/>
      <c r="I73" s="15" t="str">
        <f aca="false">IF(OR(E73="",H73=""),"",E73*H73)</f>
        <v/>
      </c>
      <c r="J73" s="12"/>
    </row>
    <row r="74" customFormat="false" ht="15" hidden="false" customHeight="false" outlineLevel="0" collapsed="false">
      <c r="A74" s="12"/>
      <c r="B74" s="12"/>
      <c r="C74" s="12"/>
      <c r="D74" s="13"/>
      <c r="E74" s="12"/>
      <c r="F74" s="12"/>
      <c r="G74" s="12"/>
      <c r="H74" s="14"/>
      <c r="I74" s="15" t="str">
        <f aca="false">IF(OR(E74="",H74=""),"",E74*H74)</f>
        <v/>
      </c>
      <c r="J74" s="12"/>
    </row>
    <row r="75" customFormat="false" ht="15" hidden="false" customHeight="false" outlineLevel="0" collapsed="false">
      <c r="A75" s="12"/>
      <c r="B75" s="12"/>
      <c r="C75" s="12"/>
      <c r="D75" s="13"/>
      <c r="E75" s="12"/>
      <c r="F75" s="12"/>
      <c r="G75" s="12"/>
      <c r="H75" s="14"/>
      <c r="I75" s="15" t="str">
        <f aca="false">IF(OR(E75="",H75=""),"",E75*H75)</f>
        <v/>
      </c>
      <c r="J75" s="12"/>
    </row>
    <row r="76" customFormat="false" ht="15" hidden="false" customHeight="false" outlineLevel="0" collapsed="false">
      <c r="A76" s="12"/>
      <c r="B76" s="12"/>
      <c r="C76" s="12"/>
      <c r="D76" s="13"/>
      <c r="E76" s="12"/>
      <c r="F76" s="12"/>
      <c r="G76" s="12"/>
      <c r="H76" s="14"/>
      <c r="I76" s="15" t="str">
        <f aca="false">IF(OR(E76="",H76=""),"",E76*H76)</f>
        <v/>
      </c>
      <c r="J76" s="12"/>
    </row>
    <row r="77" customFormat="false" ht="15" hidden="false" customHeight="false" outlineLevel="0" collapsed="false">
      <c r="A77" s="12"/>
      <c r="B77" s="12"/>
      <c r="C77" s="12"/>
      <c r="D77" s="13"/>
      <c r="E77" s="12"/>
      <c r="F77" s="12"/>
      <c r="G77" s="12"/>
      <c r="H77" s="14"/>
      <c r="I77" s="15" t="str">
        <f aca="false">IF(OR(E77="",H77=""),"",E77*H77)</f>
        <v/>
      </c>
      <c r="J77" s="12"/>
    </row>
    <row r="78" customFormat="false" ht="15" hidden="false" customHeight="false" outlineLevel="0" collapsed="false">
      <c r="A78" s="12"/>
      <c r="B78" s="12"/>
      <c r="C78" s="12"/>
      <c r="D78" s="13"/>
      <c r="E78" s="12"/>
      <c r="F78" s="12"/>
      <c r="G78" s="12"/>
      <c r="H78" s="14"/>
      <c r="I78" s="15" t="str">
        <f aca="false">IF(OR(E78="",H78=""),"",E78*H78)</f>
        <v/>
      </c>
      <c r="J78" s="12"/>
    </row>
    <row r="79" customFormat="false" ht="15" hidden="false" customHeight="false" outlineLevel="0" collapsed="false">
      <c r="A79" s="12"/>
      <c r="B79" s="12"/>
      <c r="C79" s="12"/>
      <c r="D79" s="13"/>
      <c r="E79" s="12"/>
      <c r="F79" s="12"/>
      <c r="G79" s="12"/>
      <c r="H79" s="14"/>
      <c r="I79" s="15" t="str">
        <f aca="false">IF(OR(E79="",H79=""),"",E79*H79)</f>
        <v/>
      </c>
      <c r="J79" s="12"/>
    </row>
    <row r="80" customFormat="false" ht="15" hidden="false" customHeight="false" outlineLevel="0" collapsed="false">
      <c r="A80" s="12"/>
      <c r="B80" s="12"/>
      <c r="C80" s="12"/>
      <c r="D80" s="13"/>
      <c r="E80" s="12"/>
      <c r="F80" s="12"/>
      <c r="G80" s="12"/>
      <c r="H80" s="14"/>
      <c r="I80" s="15" t="str">
        <f aca="false">IF(OR(E80="",H80=""),"",E80*H80)</f>
        <v/>
      </c>
      <c r="J80" s="12"/>
    </row>
    <row r="81" customFormat="false" ht="15" hidden="false" customHeight="false" outlineLevel="0" collapsed="false">
      <c r="A81" s="12"/>
      <c r="B81" s="12"/>
      <c r="C81" s="12"/>
      <c r="D81" s="13"/>
      <c r="E81" s="12"/>
      <c r="F81" s="12"/>
      <c r="G81" s="12"/>
      <c r="H81" s="14"/>
      <c r="I81" s="15" t="str">
        <f aca="false">IF(OR(E81="",H81=""),"",E81*H81)</f>
        <v/>
      </c>
      <c r="J81" s="12"/>
    </row>
    <row r="82" customFormat="false" ht="15" hidden="false" customHeight="false" outlineLevel="0" collapsed="false">
      <c r="A82" s="12"/>
      <c r="B82" s="12"/>
      <c r="C82" s="12"/>
      <c r="D82" s="13"/>
      <c r="E82" s="12"/>
      <c r="F82" s="12"/>
      <c r="G82" s="12"/>
      <c r="H82" s="14"/>
      <c r="I82" s="15" t="str">
        <f aca="false">IF(OR(E82="",H82=""),"",E82*H82)</f>
        <v/>
      </c>
      <c r="J82" s="12"/>
    </row>
    <row r="83" customFormat="false" ht="15" hidden="false" customHeight="false" outlineLevel="0" collapsed="false">
      <c r="A83" s="12"/>
      <c r="B83" s="12"/>
      <c r="C83" s="12"/>
      <c r="D83" s="13"/>
      <c r="E83" s="12"/>
      <c r="F83" s="12"/>
      <c r="G83" s="12"/>
      <c r="H83" s="14"/>
      <c r="I83" s="15" t="str">
        <f aca="false">IF(OR(E83="",H83=""),"",E83*H83)</f>
        <v/>
      </c>
      <c r="J83" s="12"/>
    </row>
    <row r="84" customFormat="false" ht="15" hidden="false" customHeight="false" outlineLevel="0" collapsed="false">
      <c r="A84" s="12"/>
      <c r="B84" s="12"/>
      <c r="C84" s="12"/>
      <c r="D84" s="13"/>
      <c r="E84" s="12"/>
      <c r="F84" s="12"/>
      <c r="G84" s="12"/>
      <c r="H84" s="14"/>
      <c r="I84" s="15" t="str">
        <f aca="false">IF(OR(E84="",H84=""),"",E84*H84)</f>
        <v/>
      </c>
      <c r="J84" s="12"/>
    </row>
    <row r="85" customFormat="false" ht="15" hidden="false" customHeight="false" outlineLevel="0" collapsed="false">
      <c r="A85" s="12"/>
      <c r="B85" s="12"/>
      <c r="C85" s="12"/>
      <c r="D85" s="13"/>
      <c r="E85" s="12"/>
      <c r="F85" s="12"/>
      <c r="G85" s="12"/>
      <c r="H85" s="14"/>
      <c r="I85" s="15" t="str">
        <f aca="false">IF(OR(E85="",H85=""),"",E85*H85)</f>
        <v/>
      </c>
      <c r="J85" s="12"/>
    </row>
    <row r="86" customFormat="false" ht="15" hidden="false" customHeight="false" outlineLevel="0" collapsed="false">
      <c r="A86" s="12"/>
      <c r="B86" s="12"/>
      <c r="C86" s="12"/>
      <c r="D86" s="13"/>
      <c r="E86" s="12"/>
      <c r="F86" s="12"/>
      <c r="G86" s="12"/>
      <c r="H86" s="14"/>
      <c r="I86" s="15" t="str">
        <f aca="false">IF(OR(E86="",H86=""),"",E86*H86)</f>
        <v/>
      </c>
      <c r="J86" s="12"/>
    </row>
    <row r="87" customFormat="false" ht="15" hidden="false" customHeight="false" outlineLevel="0" collapsed="false">
      <c r="A87" s="12"/>
      <c r="B87" s="12"/>
      <c r="C87" s="12"/>
      <c r="D87" s="13"/>
      <c r="E87" s="12"/>
      <c r="F87" s="12"/>
      <c r="G87" s="12"/>
      <c r="H87" s="14"/>
      <c r="I87" s="15" t="str">
        <f aca="false">IF(OR(E87="",H87=""),"",E87*H87)</f>
        <v/>
      </c>
      <c r="J87" s="12"/>
    </row>
    <row r="88" customFormat="false" ht="15" hidden="false" customHeight="false" outlineLevel="0" collapsed="false">
      <c r="A88" s="12"/>
      <c r="B88" s="12"/>
      <c r="C88" s="12"/>
      <c r="D88" s="13"/>
      <c r="E88" s="12"/>
      <c r="F88" s="12"/>
      <c r="G88" s="12"/>
      <c r="H88" s="14"/>
      <c r="I88" s="15" t="str">
        <f aca="false">IF(OR(E88="",H88=""),"",E88*H88)</f>
        <v/>
      </c>
      <c r="J88" s="12"/>
    </row>
    <row r="89" customFormat="false" ht="15" hidden="false" customHeight="false" outlineLevel="0" collapsed="false">
      <c r="A89" s="12"/>
      <c r="B89" s="12"/>
      <c r="C89" s="12"/>
      <c r="D89" s="13"/>
      <c r="E89" s="12"/>
      <c r="F89" s="12"/>
      <c r="G89" s="12"/>
      <c r="H89" s="14"/>
      <c r="I89" s="15" t="str">
        <f aca="false">IF(OR(E89="",H89=""),"",E89*H89)</f>
        <v/>
      </c>
      <c r="J89" s="12"/>
    </row>
    <row r="90" customFormat="false" ht="15" hidden="false" customHeight="false" outlineLevel="0" collapsed="false">
      <c r="A90" s="12"/>
      <c r="B90" s="12"/>
      <c r="C90" s="12"/>
      <c r="D90" s="13"/>
      <c r="E90" s="12"/>
      <c r="F90" s="12"/>
      <c r="G90" s="12"/>
      <c r="H90" s="14"/>
      <c r="I90" s="15" t="str">
        <f aca="false">IF(OR(E90="",H90=""),"",E90*H90)</f>
        <v/>
      </c>
      <c r="J90" s="12"/>
    </row>
    <row r="91" customFormat="false" ht="15" hidden="false" customHeight="false" outlineLevel="0" collapsed="false">
      <c r="A91" s="12"/>
      <c r="B91" s="12"/>
      <c r="C91" s="12"/>
      <c r="D91" s="13"/>
      <c r="E91" s="12"/>
      <c r="F91" s="12"/>
      <c r="G91" s="12"/>
      <c r="H91" s="14"/>
      <c r="I91" s="15" t="str">
        <f aca="false">IF(OR(E91="",H91=""),"",E91*H91)</f>
        <v/>
      </c>
      <c r="J91" s="12"/>
    </row>
    <row r="92" customFormat="false" ht="15" hidden="false" customHeight="false" outlineLevel="0" collapsed="false">
      <c r="A92" s="12"/>
      <c r="B92" s="12"/>
      <c r="C92" s="12"/>
      <c r="D92" s="13"/>
      <c r="E92" s="12"/>
      <c r="F92" s="12"/>
      <c r="G92" s="12"/>
      <c r="H92" s="14"/>
      <c r="I92" s="15" t="str">
        <f aca="false">IF(OR(E92="",H92=""),"",E92*H92)</f>
        <v/>
      </c>
      <c r="J92" s="12"/>
    </row>
    <row r="93" customFormat="false" ht="15" hidden="false" customHeight="false" outlineLevel="0" collapsed="false">
      <c r="A93" s="12"/>
      <c r="B93" s="12"/>
      <c r="C93" s="12"/>
      <c r="D93" s="13"/>
      <c r="E93" s="12"/>
      <c r="F93" s="12"/>
      <c r="G93" s="12"/>
      <c r="H93" s="14"/>
      <c r="I93" s="15" t="str">
        <f aca="false">IF(OR(E93="",H93=""),"",E93*H93)</f>
        <v/>
      </c>
      <c r="J93" s="12"/>
    </row>
    <row r="94" customFormat="false" ht="15" hidden="false" customHeight="false" outlineLevel="0" collapsed="false">
      <c r="A94" s="12"/>
      <c r="B94" s="12"/>
      <c r="C94" s="12"/>
      <c r="D94" s="13"/>
      <c r="E94" s="12"/>
      <c r="F94" s="12"/>
      <c r="G94" s="12"/>
      <c r="H94" s="14"/>
      <c r="I94" s="15" t="str">
        <f aca="false">IF(OR(E94="",H94=""),"",E94*H94)</f>
        <v/>
      </c>
      <c r="J94" s="12"/>
    </row>
    <row r="95" customFormat="false" ht="15" hidden="false" customHeight="false" outlineLevel="0" collapsed="false">
      <c r="A95" s="12"/>
      <c r="B95" s="12"/>
      <c r="C95" s="12"/>
      <c r="D95" s="13"/>
      <c r="E95" s="12"/>
      <c r="F95" s="12"/>
      <c r="G95" s="12"/>
      <c r="H95" s="14"/>
      <c r="I95" s="15" t="str">
        <f aca="false">IF(OR(E95="",H95=""),"",E95*H95)</f>
        <v/>
      </c>
      <c r="J95" s="12"/>
    </row>
    <row r="96" customFormat="false" ht="15" hidden="false" customHeight="false" outlineLevel="0" collapsed="false">
      <c r="A96" s="12"/>
      <c r="B96" s="12"/>
      <c r="C96" s="12"/>
      <c r="D96" s="13"/>
      <c r="E96" s="12"/>
      <c r="F96" s="12"/>
      <c r="G96" s="12"/>
      <c r="H96" s="14"/>
      <c r="I96" s="15" t="str">
        <f aca="false">IF(OR(E96="",H96=""),"",E96*H96)</f>
        <v/>
      </c>
      <c r="J96" s="12"/>
    </row>
    <row r="97" customFormat="false" ht="15" hidden="false" customHeight="false" outlineLevel="0" collapsed="false">
      <c r="A97" s="12"/>
      <c r="B97" s="12"/>
      <c r="C97" s="12"/>
      <c r="D97" s="13"/>
      <c r="E97" s="12"/>
      <c r="F97" s="12"/>
      <c r="G97" s="12"/>
      <c r="H97" s="14"/>
      <c r="I97" s="15" t="str">
        <f aca="false">IF(OR(E97="",H97=""),"",E97*H97)</f>
        <v/>
      </c>
      <c r="J97" s="12"/>
    </row>
    <row r="98" customFormat="false" ht="15" hidden="false" customHeight="false" outlineLevel="0" collapsed="false">
      <c r="A98" s="12"/>
      <c r="B98" s="12"/>
      <c r="C98" s="12"/>
      <c r="D98" s="13"/>
      <c r="E98" s="12"/>
      <c r="F98" s="12"/>
      <c r="G98" s="12"/>
      <c r="H98" s="14"/>
      <c r="I98" s="15" t="str">
        <f aca="false">IF(OR(E98="",H98=""),"",E98*H98)</f>
        <v/>
      </c>
      <c r="J98" s="12"/>
    </row>
    <row r="99" customFormat="false" ht="15" hidden="false" customHeight="false" outlineLevel="0" collapsed="false">
      <c r="A99" s="12"/>
      <c r="B99" s="12"/>
      <c r="C99" s="12"/>
      <c r="D99" s="13"/>
      <c r="E99" s="12"/>
      <c r="F99" s="12"/>
      <c r="G99" s="12"/>
      <c r="H99" s="14"/>
      <c r="I99" s="15" t="str">
        <f aca="false">IF(OR(E99="",H99=""),"",E99*H99)</f>
        <v/>
      </c>
      <c r="J99" s="12"/>
    </row>
    <row r="100" customFormat="false" ht="15" hidden="false" customHeight="false" outlineLevel="0" collapsed="false">
      <c r="A100" s="12"/>
      <c r="B100" s="12"/>
      <c r="C100" s="12"/>
      <c r="D100" s="13"/>
      <c r="E100" s="12"/>
      <c r="F100" s="12"/>
      <c r="G100" s="12"/>
      <c r="H100" s="14"/>
      <c r="I100" s="15" t="str">
        <f aca="false">IF(OR(E100="",H100=""),"",E100*H100)</f>
        <v/>
      </c>
      <c r="J100" s="12"/>
    </row>
    <row r="101" customFormat="false" ht="15" hidden="false" customHeight="false" outlineLevel="0" collapsed="false">
      <c r="A101" s="12"/>
      <c r="B101" s="12"/>
      <c r="C101" s="12"/>
      <c r="D101" s="13"/>
      <c r="E101" s="12"/>
      <c r="F101" s="12"/>
      <c r="G101" s="12"/>
      <c r="H101" s="14"/>
      <c r="I101" s="15" t="str">
        <f aca="false">IF(OR(E101="",H101=""),"",E101*H101)</f>
        <v/>
      </c>
      <c r="J101" s="12"/>
    </row>
    <row r="102" customFormat="false" ht="15" hidden="false" customHeight="false" outlineLevel="0" collapsed="false">
      <c r="A102" s="12"/>
      <c r="B102" s="12"/>
      <c r="C102" s="12"/>
      <c r="D102" s="13"/>
      <c r="E102" s="12"/>
      <c r="F102" s="12"/>
      <c r="G102" s="12"/>
      <c r="H102" s="14"/>
      <c r="I102" s="15" t="str">
        <f aca="false">IF(OR(E102="",H102=""),"",E102*H102)</f>
        <v/>
      </c>
      <c r="J102" s="12"/>
    </row>
    <row r="103" customFormat="false" ht="15" hidden="false" customHeight="false" outlineLevel="0" collapsed="false">
      <c r="A103" s="12"/>
      <c r="B103" s="12"/>
      <c r="C103" s="12"/>
      <c r="D103" s="13"/>
      <c r="E103" s="12"/>
      <c r="F103" s="12"/>
      <c r="G103" s="12"/>
      <c r="H103" s="14"/>
      <c r="I103" s="15" t="str">
        <f aca="false">IF(OR(E103="",H103=""),"",E103*H103)</f>
        <v/>
      </c>
      <c r="J103" s="12"/>
    </row>
    <row r="104" customFormat="false" ht="15" hidden="false" customHeight="false" outlineLevel="0" collapsed="false">
      <c r="A104" s="12"/>
      <c r="B104" s="12"/>
      <c r="C104" s="12"/>
      <c r="D104" s="13"/>
      <c r="E104" s="12"/>
      <c r="F104" s="12"/>
      <c r="G104" s="12"/>
      <c r="H104" s="14"/>
      <c r="I104" s="15" t="str">
        <f aca="false">IF(OR(E104="",H104=""),"",E104*H104)</f>
        <v/>
      </c>
      <c r="J104" s="12"/>
    </row>
    <row r="105" customFormat="false" ht="15" hidden="false" customHeight="false" outlineLevel="0" collapsed="false">
      <c r="A105" s="12"/>
      <c r="B105" s="12"/>
      <c r="C105" s="12"/>
      <c r="D105" s="13"/>
      <c r="E105" s="12"/>
      <c r="F105" s="12"/>
      <c r="G105" s="12"/>
      <c r="H105" s="14"/>
      <c r="I105" s="15" t="str">
        <f aca="false">IF(OR(E105="",H105=""),"",E105*H105)</f>
        <v/>
      </c>
      <c r="J105" s="12"/>
    </row>
    <row r="106" customFormat="false" ht="15" hidden="false" customHeight="false" outlineLevel="0" collapsed="false">
      <c r="A106" s="12"/>
      <c r="B106" s="12"/>
      <c r="C106" s="12"/>
      <c r="D106" s="13"/>
      <c r="E106" s="12"/>
      <c r="F106" s="12"/>
      <c r="G106" s="12"/>
      <c r="H106" s="14"/>
      <c r="I106" s="15" t="str">
        <f aca="false">IF(OR(E106="",H106=""),"",E106*H106)</f>
        <v/>
      </c>
      <c r="J106" s="12"/>
    </row>
    <row r="107" customFormat="false" ht="15" hidden="false" customHeight="false" outlineLevel="0" collapsed="false">
      <c r="A107" s="12"/>
      <c r="B107" s="12"/>
      <c r="C107" s="12"/>
      <c r="D107" s="13"/>
      <c r="E107" s="12"/>
      <c r="F107" s="12"/>
      <c r="G107" s="12"/>
      <c r="H107" s="14"/>
      <c r="I107" s="15" t="str">
        <f aca="false">IF(OR(E107="",H107=""),"",E107*H107)</f>
        <v/>
      </c>
      <c r="J107" s="12"/>
    </row>
    <row r="108" customFormat="false" ht="15" hidden="false" customHeight="false" outlineLevel="0" collapsed="false">
      <c r="A108" s="12"/>
      <c r="B108" s="12"/>
      <c r="C108" s="12"/>
      <c r="D108" s="13"/>
      <c r="E108" s="12"/>
      <c r="F108" s="12"/>
      <c r="G108" s="12"/>
      <c r="H108" s="14"/>
      <c r="I108" s="15" t="str">
        <f aca="false">IF(OR(E108="",H108=""),"",E108*H108)</f>
        <v/>
      </c>
      <c r="J108" s="12"/>
    </row>
    <row r="109" customFormat="false" ht="15" hidden="false" customHeight="false" outlineLevel="0" collapsed="false">
      <c r="A109" s="12"/>
      <c r="B109" s="12"/>
      <c r="C109" s="12"/>
      <c r="D109" s="13"/>
      <c r="E109" s="12"/>
      <c r="F109" s="12"/>
      <c r="G109" s="12"/>
      <c r="H109" s="14"/>
      <c r="I109" s="15" t="str">
        <f aca="false">IF(OR(E109="",H109=""),"",E109*H109)</f>
        <v/>
      </c>
      <c r="J109" s="12"/>
    </row>
    <row r="110" customFormat="false" ht="15" hidden="false" customHeight="false" outlineLevel="0" collapsed="false">
      <c r="A110" s="12"/>
      <c r="B110" s="12"/>
      <c r="C110" s="12"/>
      <c r="D110" s="13"/>
      <c r="E110" s="12"/>
      <c r="F110" s="12"/>
      <c r="G110" s="12"/>
      <c r="H110" s="14"/>
      <c r="I110" s="15" t="str">
        <f aca="false">IF(OR(E110="",H110=""),"",E110*H110)</f>
        <v/>
      </c>
      <c r="J110" s="12"/>
    </row>
    <row r="111" customFormat="false" ht="15" hidden="false" customHeight="false" outlineLevel="0" collapsed="false">
      <c r="A111" s="12"/>
      <c r="B111" s="12"/>
      <c r="C111" s="12"/>
      <c r="D111" s="13"/>
      <c r="E111" s="12"/>
      <c r="F111" s="12"/>
      <c r="G111" s="12"/>
      <c r="H111" s="14"/>
      <c r="I111" s="15" t="str">
        <f aca="false">IF(OR(E111="",H111=""),"",E111*H111)</f>
        <v/>
      </c>
      <c r="J111" s="12"/>
    </row>
    <row r="112" customFormat="false" ht="15" hidden="false" customHeight="false" outlineLevel="0" collapsed="false">
      <c r="A112" s="12"/>
      <c r="B112" s="12"/>
      <c r="C112" s="12"/>
      <c r="D112" s="13"/>
      <c r="E112" s="12"/>
      <c r="F112" s="12"/>
      <c r="G112" s="12"/>
      <c r="H112" s="14"/>
      <c r="I112" s="15" t="str">
        <f aca="false">IF(OR(E112="",H112=""),"",E112*H112)</f>
        <v/>
      </c>
      <c r="J112" s="12"/>
    </row>
    <row r="113" customFormat="false" ht="15" hidden="false" customHeight="false" outlineLevel="0" collapsed="false">
      <c r="A113" s="12"/>
      <c r="B113" s="12"/>
      <c r="C113" s="12"/>
      <c r="D113" s="13"/>
      <c r="E113" s="12"/>
      <c r="F113" s="12"/>
      <c r="G113" s="12"/>
      <c r="H113" s="14"/>
      <c r="I113" s="15" t="str">
        <f aca="false">IF(OR(E113="",H113=""),"",E113*H113)</f>
        <v/>
      </c>
      <c r="J113" s="12"/>
    </row>
    <row r="114" customFormat="false" ht="15" hidden="false" customHeight="false" outlineLevel="0" collapsed="false">
      <c r="A114" s="12"/>
      <c r="B114" s="12"/>
      <c r="C114" s="12"/>
      <c r="D114" s="13"/>
      <c r="E114" s="12"/>
      <c r="F114" s="12"/>
      <c r="G114" s="12"/>
      <c r="H114" s="14"/>
      <c r="I114" s="15" t="str">
        <f aca="false">IF(OR(E114="",H114=""),"",E114*H114)</f>
        <v/>
      </c>
      <c r="J114" s="12"/>
    </row>
    <row r="115" customFormat="false" ht="15" hidden="false" customHeight="false" outlineLevel="0" collapsed="false">
      <c r="A115" s="12"/>
      <c r="B115" s="12"/>
      <c r="C115" s="12"/>
      <c r="D115" s="13"/>
      <c r="E115" s="12"/>
      <c r="F115" s="12"/>
      <c r="G115" s="12"/>
      <c r="H115" s="14"/>
      <c r="I115" s="15" t="str">
        <f aca="false">IF(OR(E115="",H115=""),"",E115*H115)</f>
        <v/>
      </c>
      <c r="J115" s="12"/>
    </row>
    <row r="116" customFormat="false" ht="15" hidden="false" customHeight="false" outlineLevel="0" collapsed="false">
      <c r="A116" s="12"/>
      <c r="B116" s="12"/>
      <c r="C116" s="12"/>
      <c r="D116" s="13"/>
      <c r="E116" s="12"/>
      <c r="F116" s="12"/>
      <c r="G116" s="12"/>
      <c r="H116" s="14"/>
      <c r="I116" s="15" t="str">
        <f aca="false">IF(OR(E116="",H116=""),"",E116*H116)</f>
        <v/>
      </c>
      <c r="J116" s="12"/>
    </row>
    <row r="117" customFormat="false" ht="15" hidden="false" customHeight="false" outlineLevel="0" collapsed="false">
      <c r="A117" s="12"/>
      <c r="B117" s="12"/>
      <c r="C117" s="12"/>
      <c r="D117" s="13"/>
      <c r="E117" s="12"/>
      <c r="F117" s="12"/>
      <c r="G117" s="12"/>
      <c r="H117" s="14"/>
      <c r="I117" s="15" t="str">
        <f aca="false">IF(OR(E117="",H117=""),"",E117*H117)</f>
        <v/>
      </c>
      <c r="J117" s="12"/>
    </row>
    <row r="118" customFormat="false" ht="15" hidden="false" customHeight="false" outlineLevel="0" collapsed="false">
      <c r="A118" s="12"/>
      <c r="B118" s="12"/>
      <c r="C118" s="12"/>
      <c r="D118" s="13"/>
      <c r="E118" s="12"/>
      <c r="F118" s="12"/>
      <c r="G118" s="12"/>
      <c r="H118" s="14"/>
      <c r="I118" s="15" t="str">
        <f aca="false">IF(OR(E118="",H118=""),"",E118*H118)</f>
        <v/>
      </c>
      <c r="J118" s="12"/>
    </row>
    <row r="119" customFormat="false" ht="15" hidden="false" customHeight="false" outlineLevel="0" collapsed="false">
      <c r="A119" s="12"/>
      <c r="B119" s="12"/>
      <c r="C119" s="12"/>
      <c r="D119" s="13"/>
      <c r="E119" s="12"/>
      <c r="F119" s="12"/>
      <c r="G119" s="12"/>
      <c r="H119" s="14"/>
      <c r="I119" s="15" t="str">
        <f aca="false">IF(OR(E119="",H119=""),"",E119*H119)</f>
        <v/>
      </c>
      <c r="J119" s="12"/>
    </row>
    <row r="120" customFormat="false" ht="15" hidden="false" customHeight="false" outlineLevel="0" collapsed="false">
      <c r="A120" s="12"/>
      <c r="B120" s="12"/>
      <c r="C120" s="12"/>
      <c r="D120" s="13"/>
      <c r="E120" s="12"/>
      <c r="F120" s="12"/>
      <c r="G120" s="12"/>
      <c r="H120" s="14"/>
      <c r="I120" s="15" t="str">
        <f aca="false">IF(OR(E120="",H120=""),"",E120*H120)</f>
        <v/>
      </c>
      <c r="J120" s="12"/>
    </row>
    <row r="121" customFormat="false" ht="15" hidden="false" customHeight="false" outlineLevel="0" collapsed="false">
      <c r="A121" s="12"/>
      <c r="B121" s="12"/>
      <c r="C121" s="12"/>
      <c r="D121" s="13"/>
      <c r="E121" s="12"/>
      <c r="F121" s="12"/>
      <c r="G121" s="12"/>
      <c r="H121" s="14"/>
      <c r="I121" s="15" t="str">
        <f aca="false">IF(OR(E121="",H121=""),"",E121*H121)</f>
        <v/>
      </c>
      <c r="J121" s="12"/>
    </row>
    <row r="122" customFormat="false" ht="15" hidden="false" customHeight="false" outlineLevel="0" collapsed="false">
      <c r="A122" s="12"/>
      <c r="B122" s="12"/>
      <c r="C122" s="12"/>
      <c r="D122" s="13"/>
      <c r="E122" s="12"/>
      <c r="F122" s="12"/>
      <c r="G122" s="12"/>
      <c r="H122" s="14"/>
      <c r="I122" s="15" t="str">
        <f aca="false">IF(OR(E122="",H122=""),"",E122*H122)</f>
        <v/>
      </c>
      <c r="J122" s="12"/>
    </row>
    <row r="123" customFormat="false" ht="15" hidden="false" customHeight="false" outlineLevel="0" collapsed="false">
      <c r="A123" s="12"/>
      <c r="B123" s="12"/>
      <c r="C123" s="12"/>
      <c r="D123" s="13"/>
      <c r="E123" s="12"/>
      <c r="F123" s="12"/>
      <c r="G123" s="12"/>
      <c r="H123" s="14"/>
      <c r="I123" s="15" t="str">
        <f aca="false">IF(OR(E123="",H123=""),"",E123*H123)</f>
        <v/>
      </c>
      <c r="J123" s="12"/>
    </row>
    <row r="124" customFormat="false" ht="15" hidden="false" customHeight="false" outlineLevel="0" collapsed="false">
      <c r="A124" s="12"/>
      <c r="B124" s="12"/>
      <c r="C124" s="12"/>
      <c r="D124" s="13"/>
      <c r="E124" s="12"/>
      <c r="F124" s="12"/>
      <c r="G124" s="12"/>
      <c r="H124" s="14"/>
      <c r="I124" s="15" t="str">
        <f aca="false">IF(OR(E124="",H124=""),"",E124*H124)</f>
        <v/>
      </c>
      <c r="J124" s="12"/>
    </row>
    <row r="125" customFormat="false" ht="15" hidden="false" customHeight="false" outlineLevel="0" collapsed="false">
      <c r="A125" s="12"/>
      <c r="B125" s="12"/>
      <c r="C125" s="12"/>
      <c r="D125" s="13"/>
      <c r="E125" s="12"/>
      <c r="F125" s="12"/>
      <c r="G125" s="12"/>
      <c r="H125" s="14"/>
      <c r="I125" s="15" t="str">
        <f aca="false">IF(OR(E125="",H125=""),"",E125*H125)</f>
        <v/>
      </c>
      <c r="J125" s="12"/>
    </row>
    <row r="126" customFormat="false" ht="15" hidden="false" customHeight="false" outlineLevel="0" collapsed="false">
      <c r="A126" s="12"/>
      <c r="B126" s="12"/>
      <c r="C126" s="12"/>
      <c r="D126" s="13"/>
      <c r="E126" s="12"/>
      <c r="F126" s="12"/>
      <c r="G126" s="12"/>
      <c r="H126" s="14"/>
      <c r="I126" s="15" t="str">
        <f aca="false">IF(OR(E126="",H126=""),"",E126*H126)</f>
        <v/>
      </c>
      <c r="J126" s="12"/>
    </row>
    <row r="127" customFormat="false" ht="15" hidden="false" customHeight="false" outlineLevel="0" collapsed="false">
      <c r="A127" s="12"/>
      <c r="B127" s="12"/>
      <c r="C127" s="12"/>
      <c r="D127" s="13"/>
      <c r="E127" s="12"/>
      <c r="F127" s="12"/>
      <c r="G127" s="12"/>
      <c r="H127" s="14"/>
      <c r="I127" s="15" t="str">
        <f aca="false">IF(OR(E127="",H127=""),"",E127*H127)</f>
        <v/>
      </c>
      <c r="J127" s="12"/>
    </row>
    <row r="128" customFormat="false" ht="15" hidden="false" customHeight="false" outlineLevel="0" collapsed="false">
      <c r="A128" s="12"/>
      <c r="B128" s="12"/>
      <c r="C128" s="12"/>
      <c r="D128" s="13"/>
      <c r="E128" s="12"/>
      <c r="F128" s="12"/>
      <c r="G128" s="12"/>
      <c r="H128" s="14"/>
      <c r="I128" s="15" t="str">
        <f aca="false">IF(OR(E128="",H128=""),"",E128*H128)</f>
        <v/>
      </c>
      <c r="J128" s="12"/>
    </row>
    <row r="129" customFormat="false" ht="15" hidden="false" customHeight="false" outlineLevel="0" collapsed="false">
      <c r="A129" s="12"/>
      <c r="B129" s="12"/>
      <c r="C129" s="12"/>
      <c r="D129" s="13"/>
      <c r="E129" s="12"/>
      <c r="F129" s="12"/>
      <c r="G129" s="12"/>
      <c r="H129" s="14"/>
      <c r="I129" s="15" t="str">
        <f aca="false">IF(OR(E129="",H129=""),"",E129*H129)</f>
        <v/>
      </c>
      <c r="J129" s="12"/>
    </row>
    <row r="130" customFormat="false" ht="15" hidden="false" customHeight="false" outlineLevel="0" collapsed="false">
      <c r="A130" s="12"/>
      <c r="B130" s="12"/>
      <c r="C130" s="12"/>
      <c r="D130" s="13"/>
      <c r="E130" s="12"/>
      <c r="F130" s="12"/>
      <c r="G130" s="12"/>
      <c r="H130" s="14"/>
      <c r="I130" s="15" t="str">
        <f aca="false">IF(OR(E130="",H130=""),"",E130*H130)</f>
        <v/>
      </c>
      <c r="J130" s="12"/>
    </row>
    <row r="131" customFormat="false" ht="15" hidden="false" customHeight="false" outlineLevel="0" collapsed="false">
      <c r="A131" s="12"/>
      <c r="B131" s="12"/>
      <c r="C131" s="12"/>
      <c r="D131" s="13"/>
      <c r="E131" s="12"/>
      <c r="F131" s="12"/>
      <c r="G131" s="12"/>
      <c r="H131" s="14"/>
      <c r="I131" s="15" t="str">
        <f aca="false">IF(OR(E131="",H131=""),"",E131*H131)</f>
        <v/>
      </c>
      <c r="J131" s="12"/>
    </row>
    <row r="132" customFormat="false" ht="15" hidden="false" customHeight="false" outlineLevel="0" collapsed="false">
      <c r="A132" s="12"/>
      <c r="B132" s="12"/>
      <c r="C132" s="12"/>
      <c r="D132" s="13"/>
      <c r="E132" s="12"/>
      <c r="F132" s="12"/>
      <c r="G132" s="12"/>
      <c r="H132" s="14"/>
      <c r="I132" s="15" t="str">
        <f aca="false">IF(OR(E132="",H132=""),"",E132*H132)</f>
        <v/>
      </c>
      <c r="J132" s="12"/>
    </row>
    <row r="133" customFormat="false" ht="15" hidden="false" customHeight="false" outlineLevel="0" collapsed="false">
      <c r="A133" s="12"/>
      <c r="B133" s="12"/>
      <c r="C133" s="12"/>
      <c r="D133" s="13"/>
      <c r="E133" s="12"/>
      <c r="F133" s="12"/>
      <c r="G133" s="12"/>
      <c r="H133" s="14"/>
      <c r="I133" s="15" t="str">
        <f aca="false">IF(OR(E133="",H133=""),"",E133*H133)</f>
        <v/>
      </c>
      <c r="J133" s="12"/>
    </row>
    <row r="134" customFormat="false" ht="15" hidden="false" customHeight="false" outlineLevel="0" collapsed="false">
      <c r="A134" s="12"/>
      <c r="B134" s="12"/>
      <c r="C134" s="12"/>
      <c r="D134" s="13"/>
      <c r="E134" s="12"/>
      <c r="F134" s="12"/>
      <c r="G134" s="12"/>
      <c r="H134" s="14"/>
      <c r="I134" s="15" t="str">
        <f aca="false">IF(OR(E134="",H134=""),"",E134*H134)</f>
        <v/>
      </c>
      <c r="J134" s="12"/>
    </row>
    <row r="135" customFormat="false" ht="15" hidden="false" customHeight="false" outlineLevel="0" collapsed="false">
      <c r="A135" s="12"/>
      <c r="B135" s="12"/>
      <c r="C135" s="12"/>
      <c r="D135" s="13"/>
      <c r="E135" s="12"/>
      <c r="F135" s="12"/>
      <c r="G135" s="12"/>
      <c r="H135" s="14"/>
      <c r="I135" s="15" t="str">
        <f aca="false">IF(OR(E135="",H135=""),"",E135*H135)</f>
        <v/>
      </c>
      <c r="J135" s="12"/>
    </row>
    <row r="136" customFormat="false" ht="15" hidden="false" customHeight="false" outlineLevel="0" collapsed="false">
      <c r="A136" s="12"/>
      <c r="B136" s="12"/>
      <c r="C136" s="12"/>
      <c r="D136" s="13"/>
      <c r="E136" s="12"/>
      <c r="F136" s="12"/>
      <c r="G136" s="12"/>
      <c r="H136" s="14"/>
      <c r="I136" s="15" t="str">
        <f aca="false">IF(OR(E136="",H136=""),"",E136*H136)</f>
        <v/>
      </c>
      <c r="J136" s="12"/>
    </row>
    <row r="137" customFormat="false" ht="15" hidden="false" customHeight="false" outlineLevel="0" collapsed="false">
      <c r="A137" s="12"/>
      <c r="B137" s="12"/>
      <c r="C137" s="12"/>
      <c r="D137" s="13"/>
      <c r="E137" s="12"/>
      <c r="F137" s="12"/>
      <c r="G137" s="12"/>
      <c r="H137" s="14"/>
      <c r="I137" s="15" t="str">
        <f aca="false">IF(OR(E137="",H137=""),"",E137*H137)</f>
        <v/>
      </c>
      <c r="J137" s="12"/>
    </row>
    <row r="138" customFormat="false" ht="15" hidden="false" customHeight="false" outlineLevel="0" collapsed="false">
      <c r="A138" s="12"/>
      <c r="B138" s="12"/>
      <c r="C138" s="12"/>
      <c r="D138" s="13"/>
      <c r="E138" s="12"/>
      <c r="F138" s="12"/>
      <c r="G138" s="12"/>
      <c r="H138" s="14"/>
      <c r="I138" s="15" t="str">
        <f aca="false">IF(OR(E138="",H138=""),"",E138*H138)</f>
        <v/>
      </c>
      <c r="J138" s="12"/>
    </row>
    <row r="139" customFormat="false" ht="15" hidden="false" customHeight="false" outlineLevel="0" collapsed="false">
      <c r="A139" s="12"/>
      <c r="B139" s="12"/>
      <c r="C139" s="12"/>
      <c r="D139" s="13"/>
      <c r="E139" s="12"/>
      <c r="F139" s="12"/>
      <c r="G139" s="12"/>
      <c r="H139" s="14"/>
      <c r="I139" s="15" t="str">
        <f aca="false">IF(OR(E139="",H139=""),"",E139*H139)</f>
        <v/>
      </c>
      <c r="J139" s="12"/>
    </row>
    <row r="140" customFormat="false" ht="15" hidden="false" customHeight="false" outlineLevel="0" collapsed="false">
      <c r="A140" s="12"/>
      <c r="B140" s="12"/>
      <c r="C140" s="12"/>
      <c r="D140" s="13"/>
      <c r="E140" s="12"/>
      <c r="F140" s="12"/>
      <c r="G140" s="12"/>
      <c r="H140" s="14"/>
      <c r="I140" s="15" t="str">
        <f aca="false">IF(OR(E140="",H140=""),"",E140*H140)</f>
        <v/>
      </c>
      <c r="J140" s="12"/>
    </row>
    <row r="141" customFormat="false" ht="15" hidden="false" customHeight="false" outlineLevel="0" collapsed="false">
      <c r="A141" s="12"/>
      <c r="B141" s="12"/>
      <c r="C141" s="12"/>
      <c r="D141" s="13"/>
      <c r="E141" s="12"/>
      <c r="F141" s="12"/>
      <c r="G141" s="12"/>
      <c r="H141" s="14"/>
      <c r="I141" s="15" t="str">
        <f aca="false">IF(OR(E141="",H141=""),"",E141*H141)</f>
        <v/>
      </c>
      <c r="J141" s="12"/>
    </row>
    <row r="142" customFormat="false" ht="15" hidden="false" customHeight="false" outlineLevel="0" collapsed="false">
      <c r="A142" s="12"/>
      <c r="B142" s="12"/>
      <c r="C142" s="12"/>
      <c r="D142" s="13"/>
      <c r="E142" s="12"/>
      <c r="F142" s="12"/>
      <c r="G142" s="12"/>
      <c r="H142" s="14"/>
      <c r="I142" s="15" t="str">
        <f aca="false">IF(OR(E142="",H142=""),"",E142*H142)</f>
        <v/>
      </c>
      <c r="J142" s="12"/>
    </row>
    <row r="143" customFormat="false" ht="15" hidden="false" customHeight="false" outlineLevel="0" collapsed="false">
      <c r="A143" s="12"/>
      <c r="B143" s="12"/>
      <c r="C143" s="12"/>
      <c r="D143" s="13"/>
      <c r="E143" s="12"/>
      <c r="F143" s="12"/>
      <c r="G143" s="12"/>
      <c r="H143" s="14"/>
      <c r="I143" s="15" t="str">
        <f aca="false">IF(OR(E143="",H143=""),"",E143*H143)</f>
        <v/>
      </c>
      <c r="J143" s="12"/>
    </row>
    <row r="144" customFormat="false" ht="15" hidden="false" customHeight="false" outlineLevel="0" collapsed="false">
      <c r="A144" s="12"/>
      <c r="B144" s="12"/>
      <c r="C144" s="12"/>
      <c r="D144" s="13"/>
      <c r="E144" s="12"/>
      <c r="F144" s="12"/>
      <c r="G144" s="12"/>
      <c r="H144" s="14"/>
      <c r="I144" s="15" t="str">
        <f aca="false">IF(OR(E144="",H144=""),"",E144*H144)</f>
        <v/>
      </c>
      <c r="J144" s="12"/>
    </row>
    <row r="145" customFormat="false" ht="15" hidden="false" customHeight="false" outlineLevel="0" collapsed="false">
      <c r="A145" s="12"/>
      <c r="B145" s="12"/>
      <c r="C145" s="12"/>
      <c r="D145" s="13"/>
      <c r="E145" s="12"/>
      <c r="F145" s="12"/>
      <c r="G145" s="12"/>
      <c r="H145" s="14"/>
      <c r="I145" s="15" t="str">
        <f aca="false">IF(OR(E145="",H145=""),"",E145*H145)</f>
        <v/>
      </c>
      <c r="J145" s="12"/>
    </row>
    <row r="146" customFormat="false" ht="15" hidden="false" customHeight="false" outlineLevel="0" collapsed="false">
      <c r="A146" s="12"/>
      <c r="B146" s="12"/>
      <c r="C146" s="12"/>
      <c r="D146" s="13"/>
      <c r="E146" s="12"/>
      <c r="F146" s="12"/>
      <c r="G146" s="12"/>
      <c r="H146" s="14"/>
      <c r="I146" s="15" t="str">
        <f aca="false">IF(OR(E146="",H146=""),"",E146*H146)</f>
        <v/>
      </c>
      <c r="J146" s="12"/>
    </row>
    <row r="147" customFormat="false" ht="15" hidden="false" customHeight="false" outlineLevel="0" collapsed="false">
      <c r="A147" s="12"/>
      <c r="B147" s="12"/>
      <c r="C147" s="12"/>
      <c r="D147" s="13"/>
      <c r="E147" s="12"/>
      <c r="F147" s="12"/>
      <c r="G147" s="12"/>
      <c r="H147" s="14"/>
      <c r="I147" s="15" t="str">
        <f aca="false">IF(OR(E147="",H147=""),"",E147*H147)</f>
        <v/>
      </c>
      <c r="J147" s="12"/>
    </row>
    <row r="148" customFormat="false" ht="15" hidden="false" customHeight="false" outlineLevel="0" collapsed="false">
      <c r="A148" s="12"/>
      <c r="B148" s="12"/>
      <c r="C148" s="12"/>
      <c r="D148" s="13"/>
      <c r="E148" s="12"/>
      <c r="F148" s="12"/>
      <c r="G148" s="12"/>
      <c r="H148" s="14"/>
      <c r="I148" s="15" t="str">
        <f aca="false">IF(OR(E148="",H148=""),"",E148*H148)</f>
        <v/>
      </c>
      <c r="J148" s="12"/>
    </row>
    <row r="149" customFormat="false" ht="15" hidden="false" customHeight="false" outlineLevel="0" collapsed="false">
      <c r="A149" s="12"/>
      <c r="B149" s="12"/>
      <c r="C149" s="12"/>
      <c r="D149" s="13"/>
      <c r="E149" s="12"/>
      <c r="F149" s="12"/>
      <c r="G149" s="12"/>
      <c r="H149" s="14"/>
      <c r="I149" s="15" t="str">
        <f aca="false">IF(OR(E149="",H149=""),"",E149*H149)</f>
        <v/>
      </c>
      <c r="J149" s="12"/>
    </row>
    <row r="150" customFormat="false" ht="15" hidden="false" customHeight="false" outlineLevel="0" collapsed="false">
      <c r="A150" s="12"/>
      <c r="B150" s="12"/>
      <c r="C150" s="12"/>
      <c r="D150" s="13"/>
      <c r="E150" s="12"/>
      <c r="F150" s="12"/>
      <c r="G150" s="12"/>
      <c r="H150" s="14"/>
      <c r="I150" s="15" t="str">
        <f aca="false">IF(OR(E150="",H150=""),"",E150*H150)</f>
        <v/>
      </c>
      <c r="J150" s="12"/>
    </row>
    <row r="151" customFormat="false" ht="15" hidden="false" customHeight="false" outlineLevel="0" collapsed="false">
      <c r="A151" s="12"/>
      <c r="B151" s="12"/>
      <c r="C151" s="12"/>
      <c r="D151" s="13"/>
      <c r="E151" s="12"/>
      <c r="F151" s="12"/>
      <c r="G151" s="12"/>
      <c r="H151" s="14"/>
      <c r="I151" s="15" t="str">
        <f aca="false">IF(OR(E151="",H151=""),"",E151*H151)</f>
        <v/>
      </c>
      <c r="J151" s="12"/>
    </row>
    <row r="152" customFormat="false" ht="15" hidden="false" customHeight="false" outlineLevel="0" collapsed="false">
      <c r="A152" s="12"/>
      <c r="B152" s="12"/>
      <c r="C152" s="12"/>
      <c r="D152" s="13"/>
      <c r="E152" s="12"/>
      <c r="F152" s="12"/>
      <c r="G152" s="12"/>
      <c r="H152" s="14"/>
      <c r="I152" s="15" t="str">
        <f aca="false">IF(OR(E152="",H152=""),"",E152*H152)</f>
        <v/>
      </c>
      <c r="J152" s="12"/>
    </row>
    <row r="153" customFormat="false" ht="15" hidden="false" customHeight="false" outlineLevel="0" collapsed="false">
      <c r="A153" s="12"/>
      <c r="B153" s="12"/>
      <c r="C153" s="12"/>
      <c r="D153" s="13"/>
      <c r="E153" s="12"/>
      <c r="F153" s="12"/>
      <c r="G153" s="12"/>
      <c r="H153" s="14"/>
      <c r="I153" s="15" t="str">
        <f aca="false">IF(OR(E153="",H153=""),"",E153*H153)</f>
        <v/>
      </c>
      <c r="J153" s="12"/>
    </row>
    <row r="154" customFormat="false" ht="15" hidden="false" customHeight="false" outlineLevel="0" collapsed="false">
      <c r="A154" s="12"/>
      <c r="B154" s="12"/>
      <c r="C154" s="12"/>
      <c r="D154" s="13"/>
      <c r="E154" s="12"/>
      <c r="F154" s="12"/>
      <c r="G154" s="12"/>
      <c r="H154" s="14"/>
      <c r="I154" s="15" t="str">
        <f aca="false">IF(OR(E154="",H154=""),"",E154*H154)</f>
        <v/>
      </c>
      <c r="J154" s="12"/>
    </row>
    <row r="155" customFormat="false" ht="15" hidden="false" customHeight="false" outlineLevel="0" collapsed="false">
      <c r="A155" s="12"/>
      <c r="B155" s="12"/>
      <c r="C155" s="12"/>
      <c r="D155" s="13"/>
      <c r="E155" s="12"/>
      <c r="F155" s="12"/>
      <c r="G155" s="12"/>
      <c r="H155" s="14"/>
      <c r="I155" s="15" t="str">
        <f aca="false">IF(OR(E155="",H155=""),"",E155*H155)</f>
        <v/>
      </c>
      <c r="J155" s="12"/>
    </row>
    <row r="156" customFormat="false" ht="15" hidden="false" customHeight="false" outlineLevel="0" collapsed="false">
      <c r="A156" s="12"/>
      <c r="B156" s="12"/>
      <c r="C156" s="12"/>
      <c r="D156" s="13"/>
      <c r="E156" s="12"/>
      <c r="F156" s="12"/>
      <c r="G156" s="12"/>
      <c r="H156" s="14"/>
      <c r="I156" s="15" t="str">
        <f aca="false">IF(OR(E156="",H156=""),"",E156*H156)</f>
        <v/>
      </c>
      <c r="J156" s="12"/>
    </row>
    <row r="157" customFormat="false" ht="15" hidden="false" customHeight="false" outlineLevel="0" collapsed="false">
      <c r="A157" s="12"/>
      <c r="B157" s="12"/>
      <c r="C157" s="12"/>
      <c r="D157" s="13"/>
      <c r="E157" s="12"/>
      <c r="F157" s="12"/>
      <c r="G157" s="12"/>
      <c r="H157" s="14"/>
      <c r="I157" s="15" t="str">
        <f aca="false">IF(OR(E157="",H157=""),"",E157*H157)</f>
        <v/>
      </c>
      <c r="J157" s="12"/>
    </row>
    <row r="158" customFormat="false" ht="15" hidden="false" customHeight="false" outlineLevel="0" collapsed="false">
      <c r="A158" s="12"/>
      <c r="B158" s="12"/>
      <c r="C158" s="12"/>
      <c r="D158" s="13"/>
      <c r="E158" s="12"/>
      <c r="F158" s="12"/>
      <c r="G158" s="12"/>
      <c r="H158" s="14"/>
      <c r="I158" s="15" t="str">
        <f aca="false">IF(OR(E158="",H158=""),"",E158*H158)</f>
        <v/>
      </c>
      <c r="J158" s="12"/>
    </row>
    <row r="159" customFormat="false" ht="15" hidden="false" customHeight="false" outlineLevel="0" collapsed="false">
      <c r="A159" s="12"/>
      <c r="B159" s="12"/>
      <c r="C159" s="12"/>
      <c r="D159" s="13"/>
      <c r="E159" s="12"/>
      <c r="F159" s="12"/>
      <c r="G159" s="12"/>
      <c r="H159" s="14"/>
      <c r="I159" s="15" t="str">
        <f aca="false">IF(OR(E159="",H159=""),"",E159*H159)</f>
        <v/>
      </c>
      <c r="J159" s="12"/>
    </row>
    <row r="160" customFormat="false" ht="15" hidden="false" customHeight="false" outlineLevel="0" collapsed="false">
      <c r="A160" s="12"/>
      <c r="B160" s="12"/>
      <c r="C160" s="12"/>
      <c r="D160" s="13"/>
      <c r="E160" s="12"/>
      <c r="F160" s="12"/>
      <c r="G160" s="12"/>
      <c r="H160" s="14"/>
      <c r="I160" s="15" t="str">
        <f aca="false">IF(OR(E160="",H160=""),"",E160*H160)</f>
        <v/>
      </c>
      <c r="J160" s="12"/>
    </row>
    <row r="161" customFormat="false" ht="15" hidden="false" customHeight="false" outlineLevel="0" collapsed="false">
      <c r="A161" s="12"/>
      <c r="B161" s="12"/>
      <c r="C161" s="12"/>
      <c r="D161" s="13"/>
      <c r="E161" s="12"/>
      <c r="F161" s="12"/>
      <c r="G161" s="12"/>
      <c r="H161" s="14"/>
      <c r="I161" s="15" t="str">
        <f aca="false">IF(OR(E161="",H161=""),"",E161*H161)</f>
        <v/>
      </c>
      <c r="J161" s="12"/>
    </row>
    <row r="162" customFormat="false" ht="15" hidden="false" customHeight="false" outlineLevel="0" collapsed="false">
      <c r="A162" s="12"/>
      <c r="B162" s="12"/>
      <c r="C162" s="12"/>
      <c r="D162" s="13"/>
      <c r="E162" s="12"/>
      <c r="F162" s="12"/>
      <c r="G162" s="12"/>
      <c r="H162" s="14"/>
      <c r="I162" s="15" t="str">
        <f aca="false">IF(OR(E162="",H162=""),"",E162*H162)</f>
        <v/>
      </c>
      <c r="J162" s="12"/>
    </row>
    <row r="163" customFormat="false" ht="15" hidden="false" customHeight="false" outlineLevel="0" collapsed="false">
      <c r="A163" s="12"/>
      <c r="B163" s="12"/>
      <c r="C163" s="12"/>
      <c r="D163" s="13"/>
      <c r="E163" s="12"/>
      <c r="F163" s="12"/>
      <c r="G163" s="12"/>
      <c r="H163" s="14"/>
      <c r="I163" s="15" t="str">
        <f aca="false">IF(OR(E163="",H163=""),"",E163*H163)</f>
        <v/>
      </c>
      <c r="J163" s="12"/>
    </row>
    <row r="164" customFormat="false" ht="15" hidden="false" customHeight="false" outlineLevel="0" collapsed="false">
      <c r="A164" s="12"/>
      <c r="B164" s="12"/>
      <c r="C164" s="12"/>
      <c r="D164" s="13"/>
      <c r="E164" s="12"/>
      <c r="F164" s="12"/>
      <c r="G164" s="12"/>
      <c r="H164" s="14"/>
      <c r="I164" s="15" t="str">
        <f aca="false">IF(OR(E164="",H164=""),"",E164*H164)</f>
        <v/>
      </c>
      <c r="J164" s="12"/>
    </row>
    <row r="165" customFormat="false" ht="15" hidden="false" customHeight="false" outlineLevel="0" collapsed="false">
      <c r="A165" s="12"/>
      <c r="B165" s="12"/>
      <c r="C165" s="12"/>
      <c r="D165" s="13"/>
      <c r="E165" s="12"/>
      <c r="F165" s="12"/>
      <c r="G165" s="12"/>
      <c r="H165" s="14"/>
      <c r="I165" s="15" t="str">
        <f aca="false">IF(OR(E165="",H165=""),"",E165*H165)</f>
        <v/>
      </c>
      <c r="J165" s="12"/>
    </row>
    <row r="166" customFormat="false" ht="15" hidden="false" customHeight="false" outlineLevel="0" collapsed="false">
      <c r="A166" s="12"/>
      <c r="B166" s="12"/>
      <c r="C166" s="12"/>
      <c r="D166" s="13"/>
      <c r="E166" s="12"/>
      <c r="F166" s="12"/>
      <c r="G166" s="12"/>
      <c r="H166" s="14"/>
      <c r="I166" s="15" t="str">
        <f aca="false">IF(OR(E166="",H166=""),"",E166*H166)</f>
        <v/>
      </c>
      <c r="J166" s="12"/>
    </row>
    <row r="167" customFormat="false" ht="15" hidden="false" customHeight="false" outlineLevel="0" collapsed="false">
      <c r="A167" s="12"/>
      <c r="B167" s="12"/>
      <c r="C167" s="12"/>
      <c r="D167" s="13"/>
      <c r="E167" s="12"/>
      <c r="F167" s="12"/>
      <c r="G167" s="12"/>
      <c r="H167" s="14"/>
      <c r="I167" s="15" t="str">
        <f aca="false">IF(OR(E167="",H167=""),"",E167*H167)</f>
        <v/>
      </c>
      <c r="J167" s="12"/>
    </row>
    <row r="168" customFormat="false" ht="15" hidden="false" customHeight="false" outlineLevel="0" collapsed="false">
      <c r="A168" s="12"/>
      <c r="B168" s="12"/>
      <c r="C168" s="12"/>
      <c r="D168" s="13"/>
      <c r="E168" s="12"/>
      <c r="F168" s="12"/>
      <c r="G168" s="12"/>
      <c r="H168" s="14"/>
      <c r="I168" s="15" t="str">
        <f aca="false">IF(OR(E168="",H168=""),"",E168*H168)</f>
        <v/>
      </c>
      <c r="J168" s="12"/>
    </row>
    <row r="169" customFormat="false" ht="15" hidden="false" customHeight="false" outlineLevel="0" collapsed="false">
      <c r="A169" s="12"/>
      <c r="B169" s="12"/>
      <c r="C169" s="12"/>
      <c r="D169" s="13"/>
      <c r="E169" s="12"/>
      <c r="F169" s="12"/>
      <c r="G169" s="12"/>
      <c r="H169" s="14"/>
      <c r="I169" s="15" t="str">
        <f aca="false">IF(OR(E169="",H169=""),"",E169*H169)</f>
        <v/>
      </c>
      <c r="J169" s="12"/>
    </row>
    <row r="170" customFormat="false" ht="15" hidden="false" customHeight="false" outlineLevel="0" collapsed="false">
      <c r="A170" s="12"/>
      <c r="B170" s="12"/>
      <c r="C170" s="12"/>
      <c r="D170" s="13"/>
      <c r="E170" s="12"/>
      <c r="F170" s="12"/>
      <c r="G170" s="12"/>
      <c r="H170" s="14"/>
      <c r="I170" s="15" t="str">
        <f aca="false">IF(OR(E170="",H170=""),"",E170*H170)</f>
        <v/>
      </c>
      <c r="J170" s="12"/>
    </row>
    <row r="171" customFormat="false" ht="15" hidden="false" customHeight="false" outlineLevel="0" collapsed="false">
      <c r="A171" s="12"/>
      <c r="B171" s="12"/>
      <c r="C171" s="12"/>
      <c r="D171" s="13"/>
      <c r="E171" s="12"/>
      <c r="F171" s="12"/>
      <c r="G171" s="12"/>
      <c r="H171" s="14"/>
      <c r="I171" s="15" t="str">
        <f aca="false">IF(OR(E171="",H171=""),"",E171*H171)</f>
        <v/>
      </c>
      <c r="J171" s="12"/>
    </row>
    <row r="172" customFormat="false" ht="15" hidden="false" customHeight="false" outlineLevel="0" collapsed="false">
      <c r="A172" s="12"/>
      <c r="B172" s="12"/>
      <c r="C172" s="12"/>
      <c r="D172" s="13"/>
      <c r="E172" s="12"/>
      <c r="F172" s="12"/>
      <c r="G172" s="12"/>
      <c r="H172" s="14"/>
      <c r="I172" s="15" t="str">
        <f aca="false">IF(OR(E172="",H172=""),"",E172*H172)</f>
        <v/>
      </c>
      <c r="J172" s="12"/>
    </row>
    <row r="173" customFormat="false" ht="15" hidden="false" customHeight="false" outlineLevel="0" collapsed="false">
      <c r="A173" s="12"/>
      <c r="B173" s="12"/>
      <c r="C173" s="12"/>
      <c r="D173" s="13"/>
      <c r="E173" s="12"/>
      <c r="F173" s="12"/>
      <c r="G173" s="12"/>
      <c r="H173" s="14"/>
      <c r="I173" s="15" t="str">
        <f aca="false">IF(OR(E173="",H173=""),"",E173*H173)</f>
        <v/>
      </c>
      <c r="J173" s="12"/>
    </row>
    <row r="174" customFormat="false" ht="15" hidden="false" customHeight="false" outlineLevel="0" collapsed="false">
      <c r="A174" s="12"/>
      <c r="B174" s="12"/>
      <c r="C174" s="12"/>
      <c r="D174" s="13"/>
      <c r="E174" s="12"/>
      <c r="F174" s="12"/>
      <c r="G174" s="12"/>
      <c r="H174" s="14"/>
      <c r="I174" s="15" t="str">
        <f aca="false">IF(OR(E174="",H174=""),"",E174*H174)</f>
        <v/>
      </c>
      <c r="J174" s="12"/>
    </row>
    <row r="175" customFormat="false" ht="15" hidden="false" customHeight="false" outlineLevel="0" collapsed="false">
      <c r="A175" s="12"/>
      <c r="B175" s="12"/>
      <c r="C175" s="12"/>
      <c r="D175" s="13"/>
      <c r="E175" s="12"/>
      <c r="F175" s="12"/>
      <c r="G175" s="12"/>
      <c r="H175" s="14"/>
      <c r="I175" s="15" t="str">
        <f aca="false">IF(OR(E175="",H175=""),"",E175*H175)</f>
        <v/>
      </c>
      <c r="J175" s="12"/>
    </row>
    <row r="176" customFormat="false" ht="15" hidden="false" customHeight="false" outlineLevel="0" collapsed="false">
      <c r="A176" s="12"/>
      <c r="B176" s="12"/>
      <c r="C176" s="12"/>
      <c r="D176" s="13"/>
      <c r="E176" s="12"/>
      <c r="F176" s="12"/>
      <c r="G176" s="12"/>
      <c r="H176" s="14"/>
      <c r="I176" s="15" t="str">
        <f aca="false">IF(OR(E176="",H176=""),"",E176*H176)</f>
        <v/>
      </c>
      <c r="J176" s="12"/>
    </row>
    <row r="177" customFormat="false" ht="15" hidden="false" customHeight="false" outlineLevel="0" collapsed="false">
      <c r="A177" s="12"/>
      <c r="B177" s="12"/>
      <c r="C177" s="12"/>
      <c r="D177" s="13"/>
      <c r="E177" s="12"/>
      <c r="F177" s="12"/>
      <c r="G177" s="12"/>
      <c r="H177" s="14"/>
      <c r="I177" s="15" t="str">
        <f aca="false">IF(OR(E177="",H177=""),"",E177*H177)</f>
        <v/>
      </c>
      <c r="J177" s="12"/>
    </row>
    <row r="178" customFormat="false" ht="15" hidden="false" customHeight="false" outlineLevel="0" collapsed="false">
      <c r="A178" s="12"/>
      <c r="B178" s="12"/>
      <c r="C178" s="12"/>
      <c r="D178" s="13"/>
      <c r="E178" s="12"/>
      <c r="F178" s="12"/>
      <c r="G178" s="12"/>
      <c r="H178" s="14"/>
      <c r="I178" s="15" t="str">
        <f aca="false">IF(OR(E178="",H178=""),"",E178*H178)</f>
        <v/>
      </c>
      <c r="J178" s="12"/>
    </row>
    <row r="179" customFormat="false" ht="15" hidden="false" customHeight="false" outlineLevel="0" collapsed="false">
      <c r="A179" s="12"/>
      <c r="B179" s="12"/>
      <c r="C179" s="12"/>
      <c r="D179" s="13"/>
      <c r="E179" s="12"/>
      <c r="F179" s="12"/>
      <c r="G179" s="12"/>
      <c r="H179" s="14"/>
      <c r="I179" s="15" t="str">
        <f aca="false">IF(OR(E179="",H179=""),"",E179*H179)</f>
        <v/>
      </c>
      <c r="J179" s="12"/>
    </row>
    <row r="180" customFormat="false" ht="15" hidden="false" customHeight="false" outlineLevel="0" collapsed="false">
      <c r="A180" s="12"/>
      <c r="B180" s="12"/>
      <c r="C180" s="12"/>
      <c r="D180" s="13"/>
      <c r="E180" s="12"/>
      <c r="F180" s="12"/>
      <c r="G180" s="12"/>
      <c r="H180" s="14"/>
      <c r="I180" s="15" t="str">
        <f aca="false">IF(OR(E180="",H180=""),"",E180*H180)</f>
        <v/>
      </c>
      <c r="J180" s="12"/>
    </row>
    <row r="181" customFormat="false" ht="15" hidden="false" customHeight="false" outlineLevel="0" collapsed="false">
      <c r="A181" s="12"/>
      <c r="B181" s="12"/>
      <c r="C181" s="12"/>
      <c r="D181" s="13"/>
      <c r="E181" s="12"/>
      <c r="F181" s="12"/>
      <c r="G181" s="12"/>
      <c r="H181" s="14"/>
      <c r="I181" s="15" t="str">
        <f aca="false">IF(OR(E181="",H181=""),"",E181*H181)</f>
        <v/>
      </c>
      <c r="J181" s="12"/>
    </row>
    <row r="182" customFormat="false" ht="15" hidden="false" customHeight="false" outlineLevel="0" collapsed="false">
      <c r="A182" s="12"/>
      <c r="B182" s="12"/>
      <c r="C182" s="12"/>
      <c r="D182" s="13"/>
      <c r="E182" s="12"/>
      <c r="F182" s="12"/>
      <c r="G182" s="12"/>
      <c r="H182" s="14"/>
      <c r="I182" s="15" t="str">
        <f aca="false">IF(OR(E182="",H182=""),"",E182*H182)</f>
        <v/>
      </c>
      <c r="J182" s="12"/>
    </row>
    <row r="183" customFormat="false" ht="15" hidden="false" customHeight="false" outlineLevel="0" collapsed="false">
      <c r="A183" s="12"/>
      <c r="B183" s="12"/>
      <c r="C183" s="12"/>
      <c r="D183" s="13"/>
      <c r="E183" s="12"/>
      <c r="F183" s="12"/>
      <c r="G183" s="12"/>
      <c r="H183" s="14"/>
      <c r="I183" s="15" t="str">
        <f aca="false">IF(OR(E183="",H183=""),"",E183*H183)</f>
        <v/>
      </c>
      <c r="J183" s="12"/>
    </row>
    <row r="184" customFormat="false" ht="15" hidden="false" customHeight="false" outlineLevel="0" collapsed="false">
      <c r="A184" s="12"/>
      <c r="B184" s="12"/>
      <c r="C184" s="12"/>
      <c r="D184" s="13"/>
      <c r="E184" s="12"/>
      <c r="F184" s="12"/>
      <c r="G184" s="12"/>
      <c r="H184" s="14"/>
      <c r="I184" s="15" t="str">
        <f aca="false">IF(OR(E184="",H184=""),"",E184*H184)</f>
        <v/>
      </c>
      <c r="J184" s="12"/>
    </row>
    <row r="185" customFormat="false" ht="15" hidden="false" customHeight="false" outlineLevel="0" collapsed="false">
      <c r="A185" s="12"/>
      <c r="B185" s="12"/>
      <c r="C185" s="12"/>
      <c r="D185" s="13"/>
      <c r="E185" s="12"/>
      <c r="F185" s="12"/>
      <c r="G185" s="12"/>
      <c r="H185" s="14"/>
      <c r="I185" s="15" t="str">
        <f aca="false">IF(OR(E185="",H185=""),"",E185*H185)</f>
        <v/>
      </c>
      <c r="J185" s="12"/>
    </row>
    <row r="186" customFormat="false" ht="15" hidden="false" customHeight="false" outlineLevel="0" collapsed="false">
      <c r="A186" s="12"/>
      <c r="B186" s="12"/>
      <c r="C186" s="12"/>
      <c r="D186" s="13"/>
      <c r="E186" s="12"/>
      <c r="F186" s="12"/>
      <c r="G186" s="12"/>
      <c r="H186" s="14"/>
      <c r="I186" s="15" t="str">
        <f aca="false">IF(OR(E186="",H186=""),"",E186*H186)</f>
        <v/>
      </c>
      <c r="J186" s="12"/>
    </row>
    <row r="187" customFormat="false" ht="15" hidden="false" customHeight="false" outlineLevel="0" collapsed="false">
      <c r="A187" s="12"/>
      <c r="B187" s="12"/>
      <c r="C187" s="12"/>
      <c r="D187" s="13"/>
      <c r="E187" s="12"/>
      <c r="F187" s="12"/>
      <c r="G187" s="12"/>
      <c r="H187" s="14"/>
      <c r="I187" s="15" t="str">
        <f aca="false">IF(OR(E187="",H187=""),"",E187*H187)</f>
        <v/>
      </c>
      <c r="J187" s="12"/>
    </row>
    <row r="188" customFormat="false" ht="15" hidden="false" customHeight="false" outlineLevel="0" collapsed="false">
      <c r="A188" s="12"/>
      <c r="B188" s="12"/>
      <c r="C188" s="12"/>
      <c r="D188" s="13"/>
      <c r="E188" s="12"/>
      <c r="F188" s="12"/>
      <c r="G188" s="12"/>
      <c r="H188" s="14"/>
      <c r="I188" s="15" t="str">
        <f aca="false">IF(OR(E188="",H188=""),"",E188*H188)</f>
        <v/>
      </c>
      <c r="J188" s="12"/>
    </row>
    <row r="189" customFormat="false" ht="15" hidden="false" customHeight="false" outlineLevel="0" collapsed="false">
      <c r="A189" s="12"/>
      <c r="B189" s="12"/>
      <c r="C189" s="12"/>
      <c r="D189" s="13"/>
      <c r="E189" s="12"/>
      <c r="F189" s="12"/>
      <c r="G189" s="12"/>
      <c r="H189" s="14"/>
      <c r="I189" s="15" t="str">
        <f aca="false">IF(OR(E189="",H189=""),"",E189*H189)</f>
        <v/>
      </c>
      <c r="J189" s="12"/>
    </row>
    <row r="190" customFormat="false" ht="15" hidden="false" customHeight="false" outlineLevel="0" collapsed="false">
      <c r="A190" s="12"/>
      <c r="B190" s="12"/>
      <c r="C190" s="12"/>
      <c r="D190" s="13"/>
      <c r="E190" s="12"/>
      <c r="F190" s="12"/>
      <c r="G190" s="12"/>
      <c r="H190" s="14"/>
      <c r="I190" s="15" t="str">
        <f aca="false">IF(OR(E190="",H190=""),"",E190*H190)</f>
        <v/>
      </c>
      <c r="J190" s="12"/>
    </row>
    <row r="191" customFormat="false" ht="15" hidden="false" customHeight="false" outlineLevel="0" collapsed="false">
      <c r="A191" s="12"/>
      <c r="B191" s="12"/>
      <c r="C191" s="12"/>
      <c r="D191" s="13"/>
      <c r="E191" s="12"/>
      <c r="F191" s="12"/>
      <c r="G191" s="12"/>
      <c r="H191" s="14"/>
      <c r="I191" s="15" t="str">
        <f aca="false">IF(OR(E191="",H191=""),"",E191*H191)</f>
        <v/>
      </c>
      <c r="J191" s="12"/>
    </row>
    <row r="192" customFormat="false" ht="15" hidden="false" customHeight="false" outlineLevel="0" collapsed="false">
      <c r="A192" s="12"/>
      <c r="B192" s="12"/>
      <c r="C192" s="12"/>
      <c r="D192" s="13"/>
      <c r="E192" s="12"/>
      <c r="F192" s="12"/>
      <c r="G192" s="12"/>
      <c r="H192" s="14"/>
      <c r="I192" s="15" t="str">
        <f aca="false">IF(OR(E192="",H192=""),"",E192*H192)</f>
        <v/>
      </c>
      <c r="J192" s="12"/>
    </row>
    <row r="193" customFormat="false" ht="15" hidden="false" customHeight="false" outlineLevel="0" collapsed="false">
      <c r="A193" s="12"/>
      <c r="B193" s="12"/>
      <c r="C193" s="12"/>
      <c r="D193" s="13"/>
      <c r="E193" s="12"/>
      <c r="F193" s="12"/>
      <c r="G193" s="12"/>
      <c r="H193" s="14"/>
      <c r="I193" s="15" t="str">
        <f aca="false">IF(OR(E193="",H193=""),"",E193*H193)</f>
        <v/>
      </c>
      <c r="J193" s="12"/>
    </row>
    <row r="194" customFormat="false" ht="15" hidden="false" customHeight="false" outlineLevel="0" collapsed="false">
      <c r="A194" s="12"/>
      <c r="B194" s="12"/>
      <c r="C194" s="12"/>
      <c r="D194" s="13"/>
      <c r="E194" s="12"/>
      <c r="F194" s="12"/>
      <c r="G194" s="12"/>
      <c r="H194" s="14"/>
      <c r="I194" s="15" t="str">
        <f aca="false">IF(OR(E194="",H194=""),"",E194*H194)</f>
        <v/>
      </c>
      <c r="J194" s="12"/>
    </row>
    <row r="195" customFormat="false" ht="15" hidden="false" customHeight="false" outlineLevel="0" collapsed="false">
      <c r="A195" s="12"/>
      <c r="B195" s="12"/>
      <c r="C195" s="12"/>
      <c r="D195" s="13"/>
      <c r="E195" s="12"/>
      <c r="F195" s="12"/>
      <c r="G195" s="12"/>
      <c r="H195" s="14"/>
      <c r="I195" s="15" t="str">
        <f aca="false">IF(OR(E195="",H195=""),"",E195*H195)</f>
        <v/>
      </c>
      <c r="J195" s="12"/>
    </row>
    <row r="196" customFormat="false" ht="15" hidden="false" customHeight="false" outlineLevel="0" collapsed="false">
      <c r="A196" s="12"/>
      <c r="B196" s="12"/>
      <c r="C196" s="12"/>
      <c r="D196" s="13"/>
      <c r="E196" s="12"/>
      <c r="F196" s="12"/>
      <c r="G196" s="12"/>
      <c r="H196" s="14"/>
      <c r="I196" s="15" t="str">
        <f aca="false">IF(OR(E196="",H196=""),"",E196*H196)</f>
        <v/>
      </c>
      <c r="J196" s="12"/>
    </row>
    <row r="197" customFormat="false" ht="15" hidden="false" customHeight="false" outlineLevel="0" collapsed="false">
      <c r="A197" s="12"/>
      <c r="B197" s="12"/>
      <c r="C197" s="12"/>
      <c r="D197" s="13"/>
      <c r="E197" s="12"/>
      <c r="F197" s="12"/>
      <c r="G197" s="12"/>
      <c r="H197" s="14"/>
      <c r="I197" s="15" t="str">
        <f aca="false">IF(OR(E197="",H197=""),"",E197*H197)</f>
        <v/>
      </c>
      <c r="J197" s="12"/>
    </row>
    <row r="198" customFormat="false" ht="15" hidden="false" customHeight="false" outlineLevel="0" collapsed="false">
      <c r="A198" s="12"/>
      <c r="B198" s="12"/>
      <c r="C198" s="12"/>
      <c r="D198" s="13"/>
      <c r="E198" s="12"/>
      <c r="F198" s="12"/>
      <c r="G198" s="12"/>
      <c r="H198" s="14"/>
      <c r="I198" s="15" t="str">
        <f aca="false">IF(OR(E198="",H198=""),"",E198*H198)</f>
        <v/>
      </c>
      <c r="J198" s="12"/>
    </row>
    <row r="199" customFormat="false" ht="15" hidden="false" customHeight="false" outlineLevel="0" collapsed="false">
      <c r="A199" s="12"/>
      <c r="B199" s="12"/>
      <c r="C199" s="12"/>
      <c r="D199" s="13"/>
      <c r="E199" s="12"/>
      <c r="F199" s="12"/>
      <c r="G199" s="12"/>
      <c r="H199" s="14"/>
      <c r="I199" s="15" t="str">
        <f aca="false">IF(OR(E199="",H199=""),"",E199*H199)</f>
        <v/>
      </c>
      <c r="J199" s="12"/>
    </row>
    <row r="200" customFormat="false" ht="15" hidden="false" customHeight="false" outlineLevel="0" collapsed="false">
      <c r="A200" s="12"/>
      <c r="B200" s="12"/>
      <c r="C200" s="12"/>
      <c r="D200" s="13"/>
      <c r="E200" s="12"/>
      <c r="F200" s="12"/>
      <c r="G200" s="12"/>
      <c r="H200" s="14"/>
      <c r="I200" s="15" t="str">
        <f aca="false">IF(OR(E200="",H200=""),"",E200*H200)</f>
        <v/>
      </c>
      <c r="J200" s="12"/>
    </row>
  </sheetData>
  <autoFilter ref="A1:J200"/>
  <conditionalFormatting sqref="E2:E200">
    <cfRule type="expression" priority="2" aboveAverage="0" equalAverage="0" bottom="0" percent="0" rank="0" text="" dxfId="6">
      <formula>AND(ISNUMBER($E2),$E2&lt;0)</formula>
    </cfRule>
    <cfRule type="expression" priority="3" aboveAverage="0" equalAverage="0" bottom="0" percent="0" rank="0" text="" dxfId="4">
      <formula>AND(ISNUMBER($E2),$E2=0)</formula>
    </cfRule>
  </conditionalFormatting>
  <conditionalFormatting sqref="A2:J200">
    <cfRule type="expression" priority="4" aboveAverage="0" equalAverage="0" bottom="0" percent="0" rank="0" text="" dxfId="7">
      <formula>AND(ISNUMBER($G2),ISNUMBER($E2),$E2&lt;=$G2)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8"/>
    <col collapsed="false" customWidth="true" hidden="false" outlineLevel="0" max="4" min="4" style="0" width="20"/>
    <col collapsed="false" customWidth="true" hidden="false" outlineLevel="0" max="5" min="5" style="0" width="12"/>
    <col collapsed="false" customWidth="true" hidden="false" outlineLevel="0" max="6" min="6" style="0" width="8"/>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60"/>
  </cols>
  <sheetData>
    <row r="1" customFormat="false" ht="30" hidden="false" customHeight="true" outlineLevel="0" collapsed="false">
      <c r="A1" s="1" t="s">
        <v>95</v>
      </c>
      <c r="B1" s="1" t="s">
        <v>0</v>
      </c>
      <c r="C1" s="1" t="s">
        <v>1</v>
      </c>
      <c r="D1" s="1" t="s">
        <v>2</v>
      </c>
      <c r="E1" s="1" t="s">
        <v>96</v>
      </c>
      <c r="F1" s="1" t="s">
        <v>97</v>
      </c>
      <c r="G1" s="1" t="s">
        <v>98</v>
      </c>
      <c r="H1" s="1" t="s">
        <v>99</v>
      </c>
      <c r="I1" s="1" t="s">
        <v>100</v>
      </c>
      <c r="J1" s="1" t="s">
        <v>101</v>
      </c>
    </row>
    <row r="2" customFormat="false" ht="15" hidden="false" customHeight="false" outlineLevel="0" collapsed="false">
      <c r="A2" s="2" t="s">
        <v>4</v>
      </c>
      <c r="B2" s="2" t="s">
        <v>227</v>
      </c>
      <c r="C2" s="2" t="s">
        <v>35</v>
      </c>
      <c r="D2" s="3" t="s">
        <v>39</v>
      </c>
      <c r="E2" s="11"/>
      <c r="F2" s="7" t="s">
        <v>102</v>
      </c>
      <c r="G2" s="7"/>
      <c r="H2" s="8"/>
      <c r="I2" s="9" t="str">
        <f aca="false">IF(OR(E2="",H2=""),"",E2*H2)</f>
        <v/>
      </c>
      <c r="J2" s="10" t="s">
        <v>306</v>
      </c>
    </row>
    <row r="3" customFormat="false" ht="15" hidden="false" customHeight="false" outlineLevel="0" collapsed="false">
      <c r="A3" s="2" t="s">
        <v>4</v>
      </c>
      <c r="B3" s="2" t="s">
        <v>227</v>
      </c>
      <c r="C3" s="2" t="s">
        <v>35</v>
      </c>
      <c r="D3" s="3" t="s">
        <v>40</v>
      </c>
      <c r="E3" s="7" t="n">
        <v>1</v>
      </c>
      <c r="F3" s="7" t="s">
        <v>102</v>
      </c>
      <c r="G3" s="7"/>
      <c r="H3" s="8"/>
      <c r="I3" s="9" t="str">
        <f aca="false">IF(OR(E3="",H3=""),"",E3*H3)</f>
        <v/>
      </c>
      <c r="J3" s="10" t="s">
        <v>132</v>
      </c>
    </row>
    <row r="4" customFormat="false" ht="15" hidden="false" customHeight="false" outlineLevel="0" collapsed="false">
      <c r="A4" s="2" t="s">
        <v>4</v>
      </c>
      <c r="B4" s="2" t="s">
        <v>227</v>
      </c>
      <c r="C4" s="2" t="s">
        <v>35</v>
      </c>
      <c r="D4" s="3" t="s">
        <v>41</v>
      </c>
      <c r="E4" s="7" t="n">
        <v>6</v>
      </c>
      <c r="F4" s="7" t="s">
        <v>102</v>
      </c>
      <c r="G4" s="7"/>
      <c r="H4" s="8"/>
      <c r="I4" s="9" t="str">
        <f aca="false">IF(OR(E4="",H4=""),"",E4*H4)</f>
        <v/>
      </c>
      <c r="J4" s="10" t="s">
        <v>132</v>
      </c>
    </row>
    <row r="5" customFormat="false" ht="15" hidden="false" customHeight="false" outlineLevel="0" collapsed="false">
      <c r="A5" s="2" t="s">
        <v>4</v>
      </c>
      <c r="B5" s="2" t="s">
        <v>227</v>
      </c>
      <c r="C5" s="2" t="s">
        <v>35</v>
      </c>
      <c r="D5" s="3" t="s">
        <v>42</v>
      </c>
      <c r="E5" s="7" t="n">
        <v>8</v>
      </c>
      <c r="F5" s="7" t="s">
        <v>102</v>
      </c>
      <c r="G5" s="7"/>
      <c r="H5" s="8"/>
      <c r="I5" s="9" t="str">
        <f aca="false">IF(OR(E5="",H5=""),"",E5*H5)</f>
        <v/>
      </c>
      <c r="J5" s="10" t="s">
        <v>132</v>
      </c>
    </row>
    <row r="6" customFormat="false" ht="15" hidden="false" customHeight="false" outlineLevel="0" collapsed="false">
      <c r="A6" s="2" t="s">
        <v>4</v>
      </c>
      <c r="B6" s="2" t="s">
        <v>227</v>
      </c>
      <c r="C6" s="2" t="s">
        <v>35</v>
      </c>
      <c r="D6" s="3" t="s">
        <v>43</v>
      </c>
      <c r="E6" s="7" t="n">
        <v>3</v>
      </c>
      <c r="F6" s="7" t="s">
        <v>102</v>
      </c>
      <c r="G6" s="7"/>
      <c r="H6" s="8"/>
      <c r="I6" s="9" t="str">
        <f aca="false">IF(OR(E6="",H6=""),"",E6*H6)</f>
        <v/>
      </c>
      <c r="J6" s="10" t="s">
        <v>132</v>
      </c>
    </row>
    <row r="7" customFormat="false" ht="15" hidden="false" customHeight="false" outlineLevel="0" collapsed="false">
      <c r="A7" s="2" t="s">
        <v>4</v>
      </c>
      <c r="B7" s="2" t="s">
        <v>227</v>
      </c>
      <c r="C7" s="2" t="s">
        <v>35</v>
      </c>
      <c r="D7" s="3" t="s">
        <v>44</v>
      </c>
      <c r="E7" s="7" t="n">
        <v>6</v>
      </c>
      <c r="F7" s="7" t="s">
        <v>102</v>
      </c>
      <c r="G7" s="7"/>
      <c r="H7" s="8"/>
      <c r="I7" s="9" t="str">
        <f aca="false">IF(OR(E7="",H7=""),"",E7*H7)</f>
        <v/>
      </c>
      <c r="J7" s="10" t="s">
        <v>132</v>
      </c>
    </row>
    <row r="8" customFormat="false" ht="15" hidden="false" customHeight="false" outlineLevel="0" collapsed="false">
      <c r="A8" s="2" t="s">
        <v>4</v>
      </c>
      <c r="B8" s="2" t="s">
        <v>227</v>
      </c>
      <c r="C8" s="2" t="s">
        <v>35</v>
      </c>
      <c r="D8" s="3" t="s">
        <v>45</v>
      </c>
      <c r="E8" s="7" t="n">
        <v>9</v>
      </c>
      <c r="F8" s="7" t="s">
        <v>102</v>
      </c>
      <c r="G8" s="7"/>
      <c r="H8" s="8"/>
      <c r="I8" s="9" t="str">
        <f aca="false">IF(OR(E8="",H8=""),"",E8*H8)</f>
        <v/>
      </c>
      <c r="J8" s="10" t="s">
        <v>132</v>
      </c>
    </row>
    <row r="9" customFormat="false" ht="15" hidden="false" customHeight="false" outlineLevel="0" collapsed="false">
      <c r="A9" s="2" t="s">
        <v>4</v>
      </c>
      <c r="B9" s="2" t="s">
        <v>227</v>
      </c>
      <c r="C9" s="2" t="s">
        <v>35</v>
      </c>
      <c r="D9" s="3" t="s">
        <v>46</v>
      </c>
      <c r="E9" s="7" t="n">
        <v>9</v>
      </c>
      <c r="F9" s="7" t="s">
        <v>102</v>
      </c>
      <c r="G9" s="7"/>
      <c r="H9" s="8"/>
      <c r="I9" s="9" t="str">
        <f aca="false">IF(OR(E9="",H9=""),"",E9*H9)</f>
        <v/>
      </c>
      <c r="J9" s="10" t="s">
        <v>132</v>
      </c>
    </row>
    <row r="10" customFormat="false" ht="15" hidden="false" customHeight="false" outlineLevel="0" collapsed="false">
      <c r="A10" s="2" t="s">
        <v>4</v>
      </c>
      <c r="B10" s="2" t="s">
        <v>263</v>
      </c>
      <c r="C10" s="2" t="s">
        <v>35</v>
      </c>
      <c r="D10" s="3" t="s">
        <v>42</v>
      </c>
      <c r="E10" s="7" t="n">
        <v>7</v>
      </c>
      <c r="F10" s="7" t="s">
        <v>102</v>
      </c>
      <c r="G10" s="7"/>
      <c r="H10" s="8"/>
      <c r="I10" s="9" t="str">
        <f aca="false">IF(OR(E10="",H10=""),"",E10*H10)</f>
        <v/>
      </c>
      <c r="J10" s="10" t="s">
        <v>136</v>
      </c>
    </row>
    <row r="11" customFormat="false" ht="15" hidden="false" customHeight="false" outlineLevel="0" collapsed="false">
      <c r="A11" s="2" t="s">
        <v>4</v>
      </c>
      <c r="B11" s="2" t="s">
        <v>263</v>
      </c>
      <c r="C11" s="2" t="s">
        <v>35</v>
      </c>
      <c r="D11" s="3" t="s">
        <v>43</v>
      </c>
      <c r="E11" s="7" t="n">
        <v>3</v>
      </c>
      <c r="F11" s="7" t="s">
        <v>102</v>
      </c>
      <c r="G11" s="7"/>
      <c r="H11" s="8"/>
      <c r="I11" s="9" t="str">
        <f aca="false">IF(OR(E11="",H11=""),"",E11*H11)</f>
        <v/>
      </c>
      <c r="J11" s="10" t="s">
        <v>136</v>
      </c>
    </row>
    <row r="12" customFormat="false" ht="15" hidden="false" customHeight="false" outlineLevel="0" collapsed="false">
      <c r="A12" s="2" t="s">
        <v>4</v>
      </c>
      <c r="B12" s="2" t="s">
        <v>263</v>
      </c>
      <c r="C12" s="2" t="s">
        <v>35</v>
      </c>
      <c r="D12" s="3" t="s">
        <v>266</v>
      </c>
      <c r="E12" s="7" t="n">
        <v>1</v>
      </c>
      <c r="F12" s="7" t="s">
        <v>102</v>
      </c>
      <c r="G12" s="7"/>
      <c r="H12" s="8"/>
      <c r="I12" s="9" t="str">
        <f aca="false">IF(OR(E12="",H12=""),"",E12*H12)</f>
        <v/>
      </c>
      <c r="J12" s="10" t="s">
        <v>303</v>
      </c>
    </row>
    <row r="13" customFormat="false" ht="15" hidden="false" customHeight="false" outlineLevel="0" collapsed="false">
      <c r="A13" s="2" t="s">
        <v>4</v>
      </c>
      <c r="B13" s="2" t="s">
        <v>263</v>
      </c>
      <c r="C13" s="2" t="s">
        <v>35</v>
      </c>
      <c r="D13" s="3" t="s">
        <v>268</v>
      </c>
      <c r="E13" s="7" t="n">
        <v>1</v>
      </c>
      <c r="F13" s="7" t="s">
        <v>102</v>
      </c>
      <c r="G13" s="7"/>
      <c r="H13" s="8"/>
      <c r="I13" s="9" t="str">
        <f aca="false">IF(OR(E13="",H13=""),"",E13*H13)</f>
        <v/>
      </c>
      <c r="J13" s="10" t="s">
        <v>303</v>
      </c>
    </row>
    <row r="14" customFormat="false" ht="23.85" hidden="false" customHeight="false" outlineLevel="0" collapsed="false">
      <c r="A14" s="2" t="s">
        <v>4</v>
      </c>
      <c r="B14" s="2" t="s">
        <v>263</v>
      </c>
      <c r="C14" s="2" t="s">
        <v>35</v>
      </c>
      <c r="D14" s="3" t="s">
        <v>270</v>
      </c>
      <c r="E14" s="11"/>
      <c r="F14" s="7" t="s">
        <v>102</v>
      </c>
      <c r="G14" s="7"/>
      <c r="H14" s="8"/>
      <c r="I14" s="9" t="str">
        <f aca="false">IF(OR(E14="",H14=""),"",E14*H14)</f>
        <v/>
      </c>
      <c r="J14" s="10" t="s">
        <v>307</v>
      </c>
    </row>
    <row r="15" customFormat="false" ht="15" hidden="false" customHeight="false" outlineLevel="0" collapsed="false">
      <c r="A15" s="2" t="s">
        <v>4</v>
      </c>
      <c r="B15" s="2" t="s">
        <v>272</v>
      </c>
      <c r="C15" s="2" t="s">
        <v>35</v>
      </c>
      <c r="D15" s="3" t="s">
        <v>43</v>
      </c>
      <c r="E15" s="7" t="n">
        <v>7</v>
      </c>
      <c r="F15" s="7" t="s">
        <v>102</v>
      </c>
      <c r="G15" s="7"/>
      <c r="H15" s="8"/>
      <c r="I15" s="9" t="str">
        <f aca="false">IF(OR(E15="",H15=""),"",E15*H15)</f>
        <v/>
      </c>
      <c r="J15" s="10" t="s">
        <v>136</v>
      </c>
    </row>
    <row r="16" customFormat="false" ht="15" hidden="false" customHeight="false" outlineLevel="0" collapsed="false">
      <c r="A16" s="2" t="s">
        <v>4</v>
      </c>
      <c r="B16" s="2" t="s">
        <v>272</v>
      </c>
      <c r="C16" s="2" t="s">
        <v>35</v>
      </c>
      <c r="D16" s="3" t="s">
        <v>44</v>
      </c>
      <c r="E16" s="7" t="n">
        <v>1</v>
      </c>
      <c r="F16" s="7" t="s">
        <v>102</v>
      </c>
      <c r="G16" s="7"/>
      <c r="H16" s="8"/>
      <c r="I16" s="9" t="str">
        <f aca="false">IF(OR(E16="",H16=""),"",E16*H16)</f>
        <v/>
      </c>
      <c r="J16" s="10" t="s">
        <v>136</v>
      </c>
    </row>
    <row r="17" customFormat="false" ht="15" hidden="false" customHeight="false" outlineLevel="0" collapsed="false">
      <c r="A17" s="2" t="s">
        <v>4</v>
      </c>
      <c r="B17" s="2" t="s">
        <v>272</v>
      </c>
      <c r="C17" s="2" t="s">
        <v>35</v>
      </c>
      <c r="D17" s="3" t="s">
        <v>46</v>
      </c>
      <c r="E17" s="7" t="n">
        <v>5</v>
      </c>
      <c r="F17" s="7" t="s">
        <v>102</v>
      </c>
      <c r="G17" s="7"/>
      <c r="H17" s="8"/>
      <c r="I17" s="9" t="str">
        <f aca="false">IF(OR(E17="",H17=""),"",E17*H17)</f>
        <v/>
      </c>
      <c r="J17" s="10" t="s">
        <v>136</v>
      </c>
    </row>
    <row r="18" customFormat="false" ht="15" hidden="false" customHeight="false" outlineLevel="0" collapsed="false">
      <c r="A18" s="2" t="s">
        <v>3</v>
      </c>
      <c r="B18" s="2" t="s">
        <v>272</v>
      </c>
      <c r="C18" s="2" t="s">
        <v>35</v>
      </c>
      <c r="D18" s="3" t="s">
        <v>45</v>
      </c>
      <c r="E18" s="7" t="n">
        <v>29</v>
      </c>
      <c r="F18" s="7" t="s">
        <v>102</v>
      </c>
      <c r="G18" s="7"/>
      <c r="H18" s="8"/>
      <c r="I18" s="9" t="str">
        <f aca="false">IF(OR(E18="",H18=""),"",E18*H18)</f>
        <v/>
      </c>
      <c r="J18" s="10" t="s">
        <v>121</v>
      </c>
    </row>
    <row r="19" customFormat="false" ht="15" hidden="false" customHeight="false" outlineLevel="0" collapsed="false">
      <c r="A19" s="2" t="s">
        <v>3</v>
      </c>
      <c r="B19" s="2" t="s">
        <v>272</v>
      </c>
      <c r="C19" s="2" t="s">
        <v>35</v>
      </c>
      <c r="D19" s="3" t="s">
        <v>46</v>
      </c>
      <c r="E19" s="7" t="n">
        <v>3</v>
      </c>
      <c r="F19" s="7" t="s">
        <v>102</v>
      </c>
      <c r="G19" s="7"/>
      <c r="H19" s="8"/>
      <c r="I19" s="9" t="str">
        <f aca="false">IF(OR(E19="",H19=""),"",E19*H19)</f>
        <v/>
      </c>
      <c r="J19" s="10" t="s">
        <v>121</v>
      </c>
    </row>
    <row r="20" customFormat="false" ht="23.85" hidden="false" customHeight="false" outlineLevel="0" collapsed="false">
      <c r="A20" s="2" t="s">
        <v>3</v>
      </c>
      <c r="B20" s="2" t="s">
        <v>272</v>
      </c>
      <c r="C20" s="2" t="s">
        <v>35</v>
      </c>
      <c r="D20" s="3" t="s">
        <v>43</v>
      </c>
      <c r="E20" s="11"/>
      <c r="F20" s="7" t="s">
        <v>102</v>
      </c>
      <c r="G20" s="7"/>
      <c r="H20" s="8"/>
      <c r="I20" s="9" t="str">
        <f aca="false">IF(OR(E20="",H20=""),"",E20*H20)</f>
        <v/>
      </c>
      <c r="J20" s="10" t="s">
        <v>124</v>
      </c>
    </row>
    <row r="21" customFormat="false" ht="15" hidden="false" customHeight="false" outlineLevel="0" collapsed="false">
      <c r="A21" s="2" t="s">
        <v>3</v>
      </c>
      <c r="B21" s="2" t="s">
        <v>272</v>
      </c>
      <c r="C21" s="2" t="s">
        <v>35</v>
      </c>
      <c r="D21" s="3" t="s">
        <v>44</v>
      </c>
      <c r="E21" s="7" t="n">
        <v>28</v>
      </c>
      <c r="F21" s="7" t="s">
        <v>102</v>
      </c>
      <c r="G21" s="7"/>
      <c r="H21" s="8"/>
      <c r="I21" s="9" t="str">
        <f aca="false">IF(OR(E21="",H21=""),"",E21*H21)</f>
        <v/>
      </c>
      <c r="J21" s="10" t="s">
        <v>121</v>
      </c>
    </row>
    <row r="22" customFormat="false" ht="15" hidden="false" customHeight="false" outlineLevel="0" collapsed="false">
      <c r="A22" s="2" t="s">
        <v>3</v>
      </c>
      <c r="B22" s="2" t="s">
        <v>272</v>
      </c>
      <c r="C22" s="2" t="s">
        <v>35</v>
      </c>
      <c r="D22" s="3" t="s">
        <v>42</v>
      </c>
      <c r="E22" s="7" t="n">
        <v>9</v>
      </c>
      <c r="F22" s="7" t="s">
        <v>102</v>
      </c>
      <c r="G22" s="7"/>
      <c r="H22" s="8"/>
      <c r="I22" s="9" t="str">
        <f aca="false">IF(OR(E22="",H22=""),"",E22*H22)</f>
        <v/>
      </c>
      <c r="J22" s="10" t="s">
        <v>121</v>
      </c>
    </row>
    <row r="23" customFormat="false" ht="23.85" hidden="false" customHeight="false" outlineLevel="0" collapsed="false">
      <c r="A23" s="2" t="s">
        <v>3</v>
      </c>
      <c r="B23" s="2" t="s">
        <v>272</v>
      </c>
      <c r="C23" s="2" t="s">
        <v>35</v>
      </c>
      <c r="D23" s="3" t="s">
        <v>42</v>
      </c>
      <c r="E23" s="7" t="n">
        <v>1</v>
      </c>
      <c r="F23" s="7" t="s">
        <v>102</v>
      </c>
      <c r="G23" s="7"/>
      <c r="H23" s="8"/>
      <c r="I23" s="9" t="str">
        <f aca="false">IF(OR(E23="",H23=""),"",E23*H23)</f>
        <v/>
      </c>
      <c r="J23" s="10" t="s">
        <v>118</v>
      </c>
    </row>
    <row r="24" customFormat="false" ht="23.85" hidden="false" customHeight="false" outlineLevel="0" collapsed="false">
      <c r="A24" s="2" t="s">
        <v>3</v>
      </c>
      <c r="B24" s="2" t="s">
        <v>272</v>
      </c>
      <c r="C24" s="2" t="s">
        <v>35</v>
      </c>
      <c r="D24" s="3" t="s">
        <v>41</v>
      </c>
      <c r="E24" s="7" t="n">
        <v>1</v>
      </c>
      <c r="F24" s="7" t="s">
        <v>102</v>
      </c>
      <c r="G24" s="7"/>
      <c r="H24" s="8"/>
      <c r="I24" s="9" t="str">
        <f aca="false">IF(OR(E24="",H24=""),"",E24*H24)</f>
        <v/>
      </c>
      <c r="J24" s="10" t="s">
        <v>118</v>
      </c>
    </row>
    <row r="25" customFormat="false" ht="15" hidden="false" customHeight="false" outlineLevel="0" collapsed="false">
      <c r="A25" s="2" t="s">
        <v>3</v>
      </c>
      <c r="B25" s="2" t="s">
        <v>263</v>
      </c>
      <c r="C25" s="2" t="s">
        <v>35</v>
      </c>
      <c r="D25" s="3" t="s">
        <v>45</v>
      </c>
      <c r="E25" s="7" t="n">
        <v>9</v>
      </c>
      <c r="F25" s="7" t="s">
        <v>102</v>
      </c>
      <c r="G25" s="7"/>
      <c r="H25" s="8"/>
      <c r="I25" s="9" t="str">
        <f aca="false">IF(OR(E25="",H25=""),"",E25*H25)</f>
        <v/>
      </c>
      <c r="J25" s="10" t="s">
        <v>121</v>
      </c>
    </row>
    <row r="26" customFormat="false" ht="23.85" hidden="false" customHeight="false" outlineLevel="0" collapsed="false">
      <c r="A26" s="2" t="s">
        <v>3</v>
      </c>
      <c r="B26" s="2" t="s">
        <v>263</v>
      </c>
      <c r="C26" s="2" t="s">
        <v>35</v>
      </c>
      <c r="D26" s="3" t="s">
        <v>46</v>
      </c>
      <c r="E26" s="11"/>
      <c r="F26" s="7" t="s">
        <v>102</v>
      </c>
      <c r="G26" s="7"/>
      <c r="H26" s="8"/>
      <c r="I26" s="9" t="str">
        <f aca="false">IF(OR(E26="",H26=""),"",E26*H26)</f>
        <v/>
      </c>
      <c r="J26" s="10" t="s">
        <v>124</v>
      </c>
    </row>
    <row r="27" customFormat="false" ht="15" hidden="false" customHeight="false" outlineLevel="0" collapsed="false">
      <c r="A27" s="2" t="s">
        <v>3</v>
      </c>
      <c r="B27" s="2" t="s">
        <v>263</v>
      </c>
      <c r="C27" s="2" t="s">
        <v>35</v>
      </c>
      <c r="D27" s="3" t="s">
        <v>44</v>
      </c>
      <c r="E27" s="7" t="n">
        <v>6</v>
      </c>
      <c r="F27" s="7" t="s">
        <v>102</v>
      </c>
      <c r="G27" s="7"/>
      <c r="H27" s="8"/>
      <c r="I27" s="9" t="str">
        <f aca="false">IF(OR(E27="",H27=""),"",E27*H27)</f>
        <v/>
      </c>
      <c r="J27" s="10" t="s">
        <v>121</v>
      </c>
    </row>
    <row r="28" customFormat="false" ht="15" hidden="false" customHeight="false" outlineLevel="0" collapsed="false">
      <c r="A28" s="2" t="s">
        <v>3</v>
      </c>
      <c r="B28" s="2" t="s">
        <v>263</v>
      </c>
      <c r="C28" s="2" t="s">
        <v>35</v>
      </c>
      <c r="D28" s="3" t="s">
        <v>42</v>
      </c>
      <c r="E28" s="7" t="n">
        <v>5</v>
      </c>
      <c r="F28" s="7" t="s">
        <v>102</v>
      </c>
      <c r="G28" s="7"/>
      <c r="H28" s="8"/>
      <c r="I28" s="9" t="str">
        <f aca="false">IF(OR(E28="",H28=""),"",E28*H28)</f>
        <v/>
      </c>
      <c r="J28" s="10" t="s">
        <v>121</v>
      </c>
    </row>
    <row r="29" customFormat="false" ht="15" hidden="false" customHeight="false" outlineLevel="0" collapsed="false">
      <c r="A29" s="2" t="s">
        <v>3</v>
      </c>
      <c r="B29" s="2" t="s">
        <v>263</v>
      </c>
      <c r="C29" s="2" t="s">
        <v>35</v>
      </c>
      <c r="D29" s="3" t="s">
        <v>43</v>
      </c>
      <c r="E29" s="7" t="n">
        <v>6</v>
      </c>
      <c r="F29" s="7" t="s">
        <v>102</v>
      </c>
      <c r="G29" s="7"/>
      <c r="H29" s="8"/>
      <c r="I29" s="9" t="str">
        <f aca="false">IF(OR(E29="",H29=""),"",E29*H29)</f>
        <v/>
      </c>
      <c r="J29" s="10" t="s">
        <v>121</v>
      </c>
    </row>
    <row r="30" customFormat="false" ht="15" hidden="false" customHeight="false" outlineLevel="0" collapsed="false">
      <c r="A30" s="12"/>
      <c r="B30" s="12"/>
      <c r="C30" s="12"/>
      <c r="D30" s="13"/>
      <c r="E30" s="12"/>
      <c r="F30" s="12"/>
      <c r="G30" s="12"/>
      <c r="H30" s="14"/>
      <c r="I30" s="15" t="str">
        <f aca="false">IF(OR(E30="",H30=""),"",E30*H30)</f>
        <v/>
      </c>
      <c r="J30" s="12"/>
    </row>
    <row r="31" customFormat="false" ht="15" hidden="false" customHeight="false" outlineLevel="0" collapsed="false">
      <c r="A31" s="12"/>
      <c r="B31" s="12"/>
      <c r="C31" s="12"/>
      <c r="D31" s="13"/>
      <c r="E31" s="12"/>
      <c r="F31" s="12"/>
      <c r="G31" s="12"/>
      <c r="H31" s="14"/>
      <c r="I31" s="15" t="str">
        <f aca="false">IF(OR(E31="",H31=""),"",E31*H31)</f>
        <v/>
      </c>
      <c r="J31" s="12"/>
    </row>
    <row r="32" customFormat="false" ht="15" hidden="false" customHeight="false" outlineLevel="0" collapsed="false">
      <c r="A32" s="12"/>
      <c r="B32" s="12"/>
      <c r="C32" s="12"/>
      <c r="D32" s="13"/>
      <c r="E32" s="12"/>
      <c r="F32" s="12"/>
      <c r="G32" s="12"/>
      <c r="H32" s="14"/>
      <c r="I32" s="15" t="str">
        <f aca="false">IF(OR(E32="",H32=""),"",E32*H32)</f>
        <v/>
      </c>
      <c r="J32" s="12"/>
    </row>
    <row r="33" customFormat="false" ht="15" hidden="false" customHeight="false" outlineLevel="0" collapsed="false">
      <c r="A33" s="12"/>
      <c r="B33" s="12"/>
      <c r="C33" s="12"/>
      <c r="D33" s="13"/>
      <c r="E33" s="12"/>
      <c r="F33" s="12"/>
      <c r="G33" s="12"/>
      <c r="H33" s="14"/>
      <c r="I33" s="15" t="str">
        <f aca="false">IF(OR(E33="",H33=""),"",E33*H33)</f>
        <v/>
      </c>
      <c r="J33" s="12"/>
    </row>
    <row r="34" customFormat="false" ht="15" hidden="false" customHeight="false" outlineLevel="0" collapsed="false">
      <c r="A34" s="12"/>
      <c r="B34" s="12"/>
      <c r="C34" s="12"/>
      <c r="D34" s="13"/>
      <c r="E34" s="12"/>
      <c r="F34" s="12"/>
      <c r="G34" s="12"/>
      <c r="H34" s="14"/>
      <c r="I34" s="15" t="str">
        <f aca="false">IF(OR(E34="",H34=""),"",E34*H34)</f>
        <v/>
      </c>
      <c r="J34" s="12"/>
    </row>
    <row r="35" customFormat="false" ht="15" hidden="false" customHeight="false" outlineLevel="0" collapsed="false">
      <c r="A35" s="12"/>
      <c r="B35" s="12"/>
      <c r="C35" s="12"/>
      <c r="D35" s="13"/>
      <c r="E35" s="12"/>
      <c r="F35" s="12"/>
      <c r="G35" s="12"/>
      <c r="H35" s="14"/>
      <c r="I35" s="15" t="str">
        <f aca="false">IF(OR(E35="",H35=""),"",E35*H35)</f>
        <v/>
      </c>
      <c r="J35" s="12"/>
    </row>
    <row r="36" customFormat="false" ht="15" hidden="false" customHeight="false" outlineLevel="0" collapsed="false">
      <c r="A36" s="12"/>
      <c r="B36" s="12"/>
      <c r="C36" s="12"/>
      <c r="D36" s="13"/>
      <c r="E36" s="12"/>
      <c r="F36" s="12"/>
      <c r="G36" s="12"/>
      <c r="H36" s="14"/>
      <c r="I36" s="15" t="str">
        <f aca="false">IF(OR(E36="",H36=""),"",E36*H36)</f>
        <v/>
      </c>
      <c r="J36" s="12"/>
    </row>
    <row r="37" customFormat="false" ht="15" hidden="false" customHeight="false" outlineLevel="0" collapsed="false">
      <c r="A37" s="12"/>
      <c r="B37" s="12"/>
      <c r="C37" s="12"/>
      <c r="D37" s="13"/>
      <c r="E37" s="12"/>
      <c r="F37" s="12"/>
      <c r="G37" s="12"/>
      <c r="H37" s="14"/>
      <c r="I37" s="15" t="str">
        <f aca="false">IF(OR(E37="",H37=""),"",E37*H37)</f>
        <v/>
      </c>
      <c r="J37" s="12"/>
    </row>
    <row r="38" customFormat="false" ht="15" hidden="false" customHeight="false" outlineLevel="0" collapsed="false">
      <c r="A38" s="12"/>
      <c r="B38" s="12"/>
      <c r="C38" s="12"/>
      <c r="D38" s="13"/>
      <c r="E38" s="12"/>
      <c r="F38" s="12"/>
      <c r="G38" s="12"/>
      <c r="H38" s="14"/>
      <c r="I38" s="15" t="str">
        <f aca="false">IF(OR(E38="",H38=""),"",E38*H38)</f>
        <v/>
      </c>
      <c r="J38" s="12"/>
    </row>
    <row r="39" customFormat="false" ht="15" hidden="false" customHeight="false" outlineLevel="0" collapsed="false">
      <c r="A39" s="12"/>
      <c r="B39" s="12"/>
      <c r="C39" s="12"/>
      <c r="D39" s="13"/>
      <c r="E39" s="12"/>
      <c r="F39" s="12"/>
      <c r="G39" s="12"/>
      <c r="H39" s="14"/>
      <c r="I39" s="15" t="str">
        <f aca="false">IF(OR(E39="",H39=""),"",E39*H39)</f>
        <v/>
      </c>
      <c r="J39" s="12"/>
    </row>
    <row r="40" customFormat="false" ht="15" hidden="false" customHeight="false" outlineLevel="0" collapsed="false">
      <c r="A40" s="12"/>
      <c r="B40" s="12"/>
      <c r="C40" s="12"/>
      <c r="D40" s="13"/>
      <c r="E40" s="12"/>
      <c r="F40" s="12"/>
      <c r="G40" s="12"/>
      <c r="H40" s="14"/>
      <c r="I40" s="15" t="str">
        <f aca="false">IF(OR(E40="",H40=""),"",E40*H40)</f>
        <v/>
      </c>
      <c r="J40" s="12"/>
    </row>
    <row r="41" customFormat="false" ht="15" hidden="false" customHeight="false" outlineLevel="0" collapsed="false">
      <c r="A41" s="12"/>
      <c r="B41" s="12"/>
      <c r="C41" s="12"/>
      <c r="D41" s="13"/>
      <c r="E41" s="12"/>
      <c r="F41" s="12"/>
      <c r="G41" s="12"/>
      <c r="H41" s="14"/>
      <c r="I41" s="15" t="str">
        <f aca="false">IF(OR(E41="",H41=""),"",E41*H41)</f>
        <v/>
      </c>
      <c r="J41" s="12"/>
    </row>
    <row r="42" customFormat="false" ht="15" hidden="false" customHeight="false" outlineLevel="0" collapsed="false">
      <c r="A42" s="12"/>
      <c r="B42" s="12"/>
      <c r="C42" s="12"/>
      <c r="D42" s="13"/>
      <c r="E42" s="12"/>
      <c r="F42" s="12"/>
      <c r="G42" s="12"/>
      <c r="H42" s="14"/>
      <c r="I42" s="15" t="str">
        <f aca="false">IF(OR(E42="",H42=""),"",E42*H42)</f>
        <v/>
      </c>
      <c r="J42" s="12"/>
    </row>
    <row r="43" customFormat="false" ht="15" hidden="false" customHeight="false" outlineLevel="0" collapsed="false">
      <c r="A43" s="12"/>
      <c r="B43" s="12"/>
      <c r="C43" s="12"/>
      <c r="D43" s="13"/>
      <c r="E43" s="12"/>
      <c r="F43" s="12"/>
      <c r="G43" s="12"/>
      <c r="H43" s="14"/>
      <c r="I43" s="15" t="str">
        <f aca="false">IF(OR(E43="",H43=""),"",E43*H43)</f>
        <v/>
      </c>
      <c r="J43" s="12"/>
    </row>
    <row r="44" customFormat="false" ht="15" hidden="false" customHeight="false" outlineLevel="0" collapsed="false">
      <c r="A44" s="12"/>
      <c r="B44" s="12"/>
      <c r="C44" s="12"/>
      <c r="D44" s="13"/>
      <c r="E44" s="12"/>
      <c r="F44" s="12"/>
      <c r="G44" s="12"/>
      <c r="H44" s="14"/>
      <c r="I44" s="15" t="str">
        <f aca="false">IF(OR(E44="",H44=""),"",E44*H44)</f>
        <v/>
      </c>
      <c r="J44" s="12"/>
    </row>
    <row r="45" customFormat="false" ht="15" hidden="false" customHeight="false" outlineLevel="0" collapsed="false">
      <c r="A45" s="12"/>
      <c r="B45" s="12"/>
      <c r="C45" s="12"/>
      <c r="D45" s="13"/>
      <c r="E45" s="12"/>
      <c r="F45" s="12"/>
      <c r="G45" s="12"/>
      <c r="H45" s="14"/>
      <c r="I45" s="15" t="str">
        <f aca="false">IF(OR(E45="",H45=""),"",E45*H45)</f>
        <v/>
      </c>
      <c r="J45" s="12"/>
    </row>
    <row r="46" customFormat="false" ht="15" hidden="false" customHeight="false" outlineLevel="0" collapsed="false">
      <c r="A46" s="12"/>
      <c r="B46" s="12"/>
      <c r="C46" s="12"/>
      <c r="D46" s="13"/>
      <c r="E46" s="12"/>
      <c r="F46" s="12"/>
      <c r="G46" s="12"/>
      <c r="H46" s="14"/>
      <c r="I46" s="15" t="str">
        <f aca="false">IF(OR(E46="",H46=""),"",E46*H46)</f>
        <v/>
      </c>
      <c r="J46" s="12"/>
    </row>
    <row r="47" customFormat="false" ht="15" hidden="false" customHeight="false" outlineLevel="0" collapsed="false">
      <c r="A47" s="12"/>
      <c r="B47" s="12"/>
      <c r="C47" s="12"/>
      <c r="D47" s="13"/>
      <c r="E47" s="12"/>
      <c r="F47" s="12"/>
      <c r="G47" s="12"/>
      <c r="H47" s="14"/>
      <c r="I47" s="15" t="str">
        <f aca="false">IF(OR(E47="",H47=""),"",E47*H47)</f>
        <v/>
      </c>
      <c r="J47" s="12"/>
    </row>
    <row r="48" customFormat="false" ht="15" hidden="false" customHeight="false" outlineLevel="0" collapsed="false">
      <c r="A48" s="12"/>
      <c r="B48" s="12"/>
      <c r="C48" s="12"/>
      <c r="D48" s="13"/>
      <c r="E48" s="12"/>
      <c r="F48" s="12"/>
      <c r="G48" s="12"/>
      <c r="H48" s="14"/>
      <c r="I48" s="15" t="str">
        <f aca="false">IF(OR(E48="",H48=""),"",E48*H48)</f>
        <v/>
      </c>
      <c r="J48" s="12"/>
    </row>
    <row r="49" customFormat="false" ht="15" hidden="false" customHeight="false" outlineLevel="0" collapsed="false">
      <c r="A49" s="12"/>
      <c r="B49" s="12"/>
      <c r="C49" s="12"/>
      <c r="D49" s="13"/>
      <c r="E49" s="12"/>
      <c r="F49" s="12"/>
      <c r="G49" s="12"/>
      <c r="H49" s="14"/>
      <c r="I49" s="15" t="str">
        <f aca="false">IF(OR(E49="",H49=""),"",E49*H49)</f>
        <v/>
      </c>
      <c r="J49" s="12"/>
    </row>
    <row r="50" customFormat="false" ht="15" hidden="false" customHeight="false" outlineLevel="0" collapsed="false">
      <c r="A50" s="12"/>
      <c r="B50" s="12"/>
      <c r="C50" s="12"/>
      <c r="D50" s="13"/>
      <c r="E50" s="12"/>
      <c r="F50" s="12"/>
      <c r="G50" s="12"/>
      <c r="H50" s="14"/>
      <c r="I50" s="15" t="str">
        <f aca="false">IF(OR(E50="",H50=""),"",E50*H50)</f>
        <v/>
      </c>
      <c r="J50" s="12"/>
    </row>
    <row r="51" customFormat="false" ht="15" hidden="false" customHeight="false" outlineLevel="0" collapsed="false">
      <c r="A51" s="12"/>
      <c r="B51" s="12"/>
      <c r="C51" s="12"/>
      <c r="D51" s="13"/>
      <c r="E51" s="12"/>
      <c r="F51" s="12"/>
      <c r="G51" s="12"/>
      <c r="H51" s="14"/>
      <c r="I51" s="15" t="str">
        <f aca="false">IF(OR(E51="",H51=""),"",E51*H51)</f>
        <v/>
      </c>
      <c r="J51" s="12"/>
    </row>
    <row r="52" customFormat="false" ht="15" hidden="false" customHeight="false" outlineLevel="0" collapsed="false">
      <c r="A52" s="12"/>
      <c r="B52" s="12"/>
      <c r="C52" s="12"/>
      <c r="D52" s="13"/>
      <c r="E52" s="12"/>
      <c r="F52" s="12"/>
      <c r="G52" s="12"/>
      <c r="H52" s="14"/>
      <c r="I52" s="15" t="str">
        <f aca="false">IF(OR(E52="",H52=""),"",E52*H52)</f>
        <v/>
      </c>
      <c r="J52" s="12"/>
    </row>
    <row r="53" customFormat="false" ht="15" hidden="false" customHeight="false" outlineLevel="0" collapsed="false">
      <c r="A53" s="12"/>
      <c r="B53" s="12"/>
      <c r="C53" s="12"/>
      <c r="D53" s="13"/>
      <c r="E53" s="12"/>
      <c r="F53" s="12"/>
      <c r="G53" s="12"/>
      <c r="H53" s="14"/>
      <c r="I53" s="15" t="str">
        <f aca="false">IF(OR(E53="",H53=""),"",E53*H53)</f>
        <v/>
      </c>
      <c r="J53" s="12"/>
    </row>
    <row r="54" customFormat="false" ht="15" hidden="false" customHeight="false" outlineLevel="0" collapsed="false">
      <c r="A54" s="12"/>
      <c r="B54" s="12"/>
      <c r="C54" s="12"/>
      <c r="D54" s="13"/>
      <c r="E54" s="12"/>
      <c r="F54" s="12"/>
      <c r="G54" s="12"/>
      <c r="H54" s="14"/>
      <c r="I54" s="15" t="str">
        <f aca="false">IF(OR(E54="",H54=""),"",E54*H54)</f>
        <v/>
      </c>
      <c r="J54" s="12"/>
    </row>
    <row r="55" customFormat="false" ht="15" hidden="false" customHeight="false" outlineLevel="0" collapsed="false">
      <c r="A55" s="12"/>
      <c r="B55" s="12"/>
      <c r="C55" s="12"/>
      <c r="D55" s="13"/>
      <c r="E55" s="12"/>
      <c r="F55" s="12"/>
      <c r="G55" s="12"/>
      <c r="H55" s="14"/>
      <c r="I55" s="15" t="str">
        <f aca="false">IF(OR(E55="",H55=""),"",E55*H55)</f>
        <v/>
      </c>
      <c r="J55" s="12"/>
    </row>
    <row r="56" customFormat="false" ht="15" hidden="false" customHeight="false" outlineLevel="0" collapsed="false">
      <c r="A56" s="12"/>
      <c r="B56" s="12"/>
      <c r="C56" s="12"/>
      <c r="D56" s="13"/>
      <c r="E56" s="12"/>
      <c r="F56" s="12"/>
      <c r="G56" s="12"/>
      <c r="H56" s="14"/>
      <c r="I56" s="15" t="str">
        <f aca="false">IF(OR(E56="",H56=""),"",E56*H56)</f>
        <v/>
      </c>
      <c r="J56" s="12"/>
    </row>
    <row r="57" customFormat="false" ht="15" hidden="false" customHeight="false" outlineLevel="0" collapsed="false">
      <c r="A57" s="12"/>
      <c r="B57" s="12"/>
      <c r="C57" s="12"/>
      <c r="D57" s="13"/>
      <c r="E57" s="12"/>
      <c r="F57" s="12"/>
      <c r="G57" s="12"/>
      <c r="H57" s="14"/>
      <c r="I57" s="15" t="str">
        <f aca="false">IF(OR(E57="",H57=""),"",E57*H57)</f>
        <v/>
      </c>
      <c r="J57" s="12"/>
    </row>
    <row r="58" customFormat="false" ht="15" hidden="false" customHeight="false" outlineLevel="0" collapsed="false">
      <c r="A58" s="12"/>
      <c r="B58" s="12"/>
      <c r="C58" s="12"/>
      <c r="D58" s="13"/>
      <c r="E58" s="12"/>
      <c r="F58" s="12"/>
      <c r="G58" s="12"/>
      <c r="H58" s="14"/>
      <c r="I58" s="15" t="str">
        <f aca="false">IF(OR(E58="",H58=""),"",E58*H58)</f>
        <v/>
      </c>
      <c r="J58" s="12"/>
    </row>
    <row r="59" customFormat="false" ht="15" hidden="false" customHeight="false" outlineLevel="0" collapsed="false">
      <c r="A59" s="12"/>
      <c r="B59" s="12"/>
      <c r="C59" s="12"/>
      <c r="D59" s="13"/>
      <c r="E59" s="12"/>
      <c r="F59" s="12"/>
      <c r="G59" s="12"/>
      <c r="H59" s="14"/>
      <c r="I59" s="15" t="str">
        <f aca="false">IF(OR(E59="",H59=""),"",E59*H59)</f>
        <v/>
      </c>
      <c r="J59" s="12"/>
    </row>
    <row r="60" customFormat="false" ht="15" hidden="false" customHeight="false" outlineLevel="0" collapsed="false">
      <c r="A60" s="12"/>
      <c r="B60" s="12"/>
      <c r="C60" s="12"/>
      <c r="D60" s="13"/>
      <c r="E60" s="12"/>
      <c r="F60" s="12"/>
      <c r="G60" s="12"/>
      <c r="H60" s="14"/>
      <c r="I60" s="15" t="str">
        <f aca="false">IF(OR(E60="",H60=""),"",E60*H60)</f>
        <v/>
      </c>
      <c r="J60" s="12"/>
    </row>
    <row r="61" customFormat="false" ht="15" hidden="false" customHeight="false" outlineLevel="0" collapsed="false">
      <c r="A61" s="12"/>
      <c r="B61" s="12"/>
      <c r="C61" s="12"/>
      <c r="D61" s="13"/>
      <c r="E61" s="12"/>
      <c r="F61" s="12"/>
      <c r="G61" s="12"/>
      <c r="H61" s="14"/>
      <c r="I61" s="15" t="str">
        <f aca="false">IF(OR(E61="",H61=""),"",E61*H61)</f>
        <v/>
      </c>
      <c r="J61" s="12"/>
    </row>
    <row r="62" customFormat="false" ht="15" hidden="false" customHeight="false" outlineLevel="0" collapsed="false">
      <c r="A62" s="12"/>
      <c r="B62" s="12"/>
      <c r="C62" s="12"/>
      <c r="D62" s="13"/>
      <c r="E62" s="12"/>
      <c r="F62" s="12"/>
      <c r="G62" s="12"/>
      <c r="H62" s="14"/>
      <c r="I62" s="15" t="str">
        <f aca="false">IF(OR(E62="",H62=""),"",E62*H62)</f>
        <v/>
      </c>
      <c r="J62" s="12"/>
    </row>
    <row r="63" customFormat="false" ht="15" hidden="false" customHeight="false" outlineLevel="0" collapsed="false">
      <c r="A63" s="12"/>
      <c r="B63" s="12"/>
      <c r="C63" s="12"/>
      <c r="D63" s="13"/>
      <c r="E63" s="12"/>
      <c r="F63" s="12"/>
      <c r="G63" s="12"/>
      <c r="H63" s="14"/>
      <c r="I63" s="15" t="str">
        <f aca="false">IF(OR(E63="",H63=""),"",E63*H63)</f>
        <v/>
      </c>
      <c r="J63" s="12"/>
    </row>
    <row r="64" customFormat="false" ht="15" hidden="false" customHeight="false" outlineLevel="0" collapsed="false">
      <c r="A64" s="12"/>
      <c r="B64" s="12"/>
      <c r="C64" s="12"/>
      <c r="D64" s="13"/>
      <c r="E64" s="12"/>
      <c r="F64" s="12"/>
      <c r="G64" s="12"/>
      <c r="H64" s="14"/>
      <c r="I64" s="15" t="str">
        <f aca="false">IF(OR(E64="",H64=""),"",E64*H64)</f>
        <v/>
      </c>
      <c r="J64" s="12"/>
    </row>
    <row r="65" customFormat="false" ht="15" hidden="false" customHeight="false" outlineLevel="0" collapsed="false">
      <c r="A65" s="12"/>
      <c r="B65" s="12"/>
      <c r="C65" s="12"/>
      <c r="D65" s="13"/>
      <c r="E65" s="12"/>
      <c r="F65" s="12"/>
      <c r="G65" s="12"/>
      <c r="H65" s="14"/>
      <c r="I65" s="15" t="str">
        <f aca="false">IF(OR(E65="",H65=""),"",E65*H65)</f>
        <v/>
      </c>
      <c r="J65" s="12"/>
    </row>
    <row r="66" customFormat="false" ht="15" hidden="false" customHeight="false" outlineLevel="0" collapsed="false">
      <c r="A66" s="12"/>
      <c r="B66" s="12"/>
      <c r="C66" s="12"/>
      <c r="D66" s="13"/>
      <c r="E66" s="12"/>
      <c r="F66" s="12"/>
      <c r="G66" s="12"/>
      <c r="H66" s="14"/>
      <c r="I66" s="15" t="str">
        <f aca="false">IF(OR(E66="",H66=""),"",E66*H66)</f>
        <v/>
      </c>
      <c r="J66" s="12"/>
    </row>
    <row r="67" customFormat="false" ht="15" hidden="false" customHeight="false" outlineLevel="0" collapsed="false">
      <c r="A67" s="12"/>
      <c r="B67" s="12"/>
      <c r="C67" s="12"/>
      <c r="D67" s="13"/>
      <c r="E67" s="12"/>
      <c r="F67" s="12"/>
      <c r="G67" s="12"/>
      <c r="H67" s="14"/>
      <c r="I67" s="15" t="str">
        <f aca="false">IF(OR(E67="",H67=""),"",E67*H67)</f>
        <v/>
      </c>
      <c r="J67" s="12"/>
    </row>
    <row r="68" customFormat="false" ht="15" hidden="false" customHeight="false" outlineLevel="0" collapsed="false">
      <c r="A68" s="12"/>
      <c r="B68" s="12"/>
      <c r="C68" s="12"/>
      <c r="D68" s="13"/>
      <c r="E68" s="12"/>
      <c r="F68" s="12"/>
      <c r="G68" s="12"/>
      <c r="H68" s="14"/>
      <c r="I68" s="15" t="str">
        <f aca="false">IF(OR(E68="",H68=""),"",E68*H68)</f>
        <v/>
      </c>
      <c r="J68" s="12"/>
    </row>
    <row r="69" customFormat="false" ht="15" hidden="false" customHeight="false" outlineLevel="0" collapsed="false">
      <c r="A69" s="12"/>
      <c r="B69" s="12"/>
      <c r="C69" s="12"/>
      <c r="D69" s="13"/>
      <c r="E69" s="12"/>
      <c r="F69" s="12"/>
      <c r="G69" s="12"/>
      <c r="H69" s="14"/>
      <c r="I69" s="15" t="str">
        <f aca="false">IF(OR(E69="",H69=""),"",E69*H69)</f>
        <v/>
      </c>
      <c r="J69" s="12"/>
    </row>
    <row r="70" customFormat="false" ht="15" hidden="false" customHeight="false" outlineLevel="0" collapsed="false">
      <c r="A70" s="12"/>
      <c r="B70" s="12"/>
      <c r="C70" s="12"/>
      <c r="D70" s="13"/>
      <c r="E70" s="12"/>
      <c r="F70" s="12"/>
      <c r="G70" s="12"/>
      <c r="H70" s="14"/>
      <c r="I70" s="15" t="str">
        <f aca="false">IF(OR(E70="",H70=""),"",E70*H70)</f>
        <v/>
      </c>
      <c r="J70" s="12"/>
    </row>
    <row r="71" customFormat="false" ht="15" hidden="false" customHeight="false" outlineLevel="0" collapsed="false">
      <c r="A71" s="12"/>
      <c r="B71" s="12"/>
      <c r="C71" s="12"/>
      <c r="D71" s="13"/>
      <c r="E71" s="12"/>
      <c r="F71" s="12"/>
      <c r="G71" s="12"/>
      <c r="H71" s="14"/>
      <c r="I71" s="15" t="str">
        <f aca="false">IF(OR(E71="",H71=""),"",E71*H71)</f>
        <v/>
      </c>
      <c r="J71" s="12"/>
    </row>
    <row r="72" customFormat="false" ht="15" hidden="false" customHeight="false" outlineLevel="0" collapsed="false">
      <c r="A72" s="12"/>
      <c r="B72" s="12"/>
      <c r="C72" s="12"/>
      <c r="D72" s="13"/>
      <c r="E72" s="12"/>
      <c r="F72" s="12"/>
      <c r="G72" s="12"/>
      <c r="H72" s="14"/>
      <c r="I72" s="15" t="str">
        <f aca="false">IF(OR(E72="",H72=""),"",E72*H72)</f>
        <v/>
      </c>
      <c r="J72" s="12"/>
    </row>
    <row r="73" customFormat="false" ht="15" hidden="false" customHeight="false" outlineLevel="0" collapsed="false">
      <c r="A73" s="12"/>
      <c r="B73" s="12"/>
      <c r="C73" s="12"/>
      <c r="D73" s="13"/>
      <c r="E73" s="12"/>
      <c r="F73" s="12"/>
      <c r="G73" s="12"/>
      <c r="H73" s="14"/>
      <c r="I73" s="15" t="str">
        <f aca="false">IF(OR(E73="",H73=""),"",E73*H73)</f>
        <v/>
      </c>
      <c r="J73" s="12"/>
    </row>
    <row r="74" customFormat="false" ht="15" hidden="false" customHeight="false" outlineLevel="0" collapsed="false">
      <c r="A74" s="12"/>
      <c r="B74" s="12"/>
      <c r="C74" s="12"/>
      <c r="D74" s="13"/>
      <c r="E74" s="12"/>
      <c r="F74" s="12"/>
      <c r="G74" s="12"/>
      <c r="H74" s="14"/>
      <c r="I74" s="15" t="str">
        <f aca="false">IF(OR(E74="",H74=""),"",E74*H74)</f>
        <v/>
      </c>
      <c r="J74" s="12"/>
    </row>
    <row r="75" customFormat="false" ht="15" hidden="false" customHeight="false" outlineLevel="0" collapsed="false">
      <c r="A75" s="12"/>
      <c r="B75" s="12"/>
      <c r="C75" s="12"/>
      <c r="D75" s="13"/>
      <c r="E75" s="12"/>
      <c r="F75" s="12"/>
      <c r="G75" s="12"/>
      <c r="H75" s="14"/>
      <c r="I75" s="15" t="str">
        <f aca="false">IF(OR(E75="",H75=""),"",E75*H75)</f>
        <v/>
      </c>
      <c r="J75" s="12"/>
    </row>
    <row r="76" customFormat="false" ht="15" hidden="false" customHeight="false" outlineLevel="0" collapsed="false">
      <c r="A76" s="12"/>
      <c r="B76" s="12"/>
      <c r="C76" s="12"/>
      <c r="D76" s="13"/>
      <c r="E76" s="12"/>
      <c r="F76" s="12"/>
      <c r="G76" s="12"/>
      <c r="H76" s="14"/>
      <c r="I76" s="15" t="str">
        <f aca="false">IF(OR(E76="",H76=""),"",E76*H76)</f>
        <v/>
      </c>
      <c r="J76" s="12"/>
    </row>
    <row r="77" customFormat="false" ht="15" hidden="false" customHeight="false" outlineLevel="0" collapsed="false">
      <c r="A77" s="12"/>
      <c r="B77" s="12"/>
      <c r="C77" s="12"/>
      <c r="D77" s="13"/>
      <c r="E77" s="12"/>
      <c r="F77" s="12"/>
      <c r="G77" s="12"/>
      <c r="H77" s="14"/>
      <c r="I77" s="15" t="str">
        <f aca="false">IF(OR(E77="",H77=""),"",E77*H77)</f>
        <v/>
      </c>
      <c r="J77" s="12"/>
    </row>
    <row r="78" customFormat="false" ht="15" hidden="false" customHeight="false" outlineLevel="0" collapsed="false">
      <c r="A78" s="12"/>
      <c r="B78" s="12"/>
      <c r="C78" s="12"/>
      <c r="D78" s="13"/>
      <c r="E78" s="12"/>
      <c r="F78" s="12"/>
      <c r="G78" s="12"/>
      <c r="H78" s="14"/>
      <c r="I78" s="15" t="str">
        <f aca="false">IF(OR(E78="",H78=""),"",E78*H78)</f>
        <v/>
      </c>
      <c r="J78" s="12"/>
    </row>
    <row r="79" customFormat="false" ht="15" hidden="false" customHeight="false" outlineLevel="0" collapsed="false">
      <c r="A79" s="12"/>
      <c r="B79" s="12"/>
      <c r="C79" s="12"/>
      <c r="D79" s="13"/>
      <c r="E79" s="12"/>
      <c r="F79" s="12"/>
      <c r="G79" s="12"/>
      <c r="H79" s="14"/>
      <c r="I79" s="15" t="str">
        <f aca="false">IF(OR(E79="",H79=""),"",E79*H79)</f>
        <v/>
      </c>
      <c r="J79" s="12"/>
    </row>
    <row r="80" customFormat="false" ht="15" hidden="false" customHeight="false" outlineLevel="0" collapsed="false">
      <c r="A80" s="12"/>
      <c r="B80" s="12"/>
      <c r="C80" s="12"/>
      <c r="D80" s="13"/>
      <c r="E80" s="12"/>
      <c r="F80" s="12"/>
      <c r="G80" s="12"/>
      <c r="H80" s="14"/>
      <c r="I80" s="15" t="str">
        <f aca="false">IF(OR(E80="",H80=""),"",E80*H80)</f>
        <v/>
      </c>
      <c r="J80" s="12"/>
    </row>
    <row r="81" customFormat="false" ht="15" hidden="false" customHeight="false" outlineLevel="0" collapsed="false">
      <c r="A81" s="12"/>
      <c r="B81" s="12"/>
      <c r="C81" s="12"/>
      <c r="D81" s="13"/>
      <c r="E81" s="12"/>
      <c r="F81" s="12"/>
      <c r="G81" s="12"/>
      <c r="H81" s="14"/>
      <c r="I81" s="15" t="str">
        <f aca="false">IF(OR(E81="",H81=""),"",E81*H81)</f>
        <v/>
      </c>
      <c r="J81" s="12"/>
    </row>
    <row r="82" customFormat="false" ht="15" hidden="false" customHeight="false" outlineLevel="0" collapsed="false">
      <c r="A82" s="12"/>
      <c r="B82" s="12"/>
      <c r="C82" s="12"/>
      <c r="D82" s="13"/>
      <c r="E82" s="12"/>
      <c r="F82" s="12"/>
      <c r="G82" s="12"/>
      <c r="H82" s="14"/>
      <c r="I82" s="15" t="str">
        <f aca="false">IF(OR(E82="",H82=""),"",E82*H82)</f>
        <v/>
      </c>
      <c r="J82" s="12"/>
    </row>
    <row r="83" customFormat="false" ht="15" hidden="false" customHeight="false" outlineLevel="0" collapsed="false">
      <c r="A83" s="12"/>
      <c r="B83" s="12"/>
      <c r="C83" s="12"/>
      <c r="D83" s="13"/>
      <c r="E83" s="12"/>
      <c r="F83" s="12"/>
      <c r="G83" s="12"/>
      <c r="H83" s="14"/>
      <c r="I83" s="15" t="str">
        <f aca="false">IF(OR(E83="",H83=""),"",E83*H83)</f>
        <v/>
      </c>
      <c r="J83" s="12"/>
    </row>
    <row r="84" customFormat="false" ht="15" hidden="false" customHeight="false" outlineLevel="0" collapsed="false">
      <c r="A84" s="12"/>
      <c r="B84" s="12"/>
      <c r="C84" s="12"/>
      <c r="D84" s="13"/>
      <c r="E84" s="12"/>
      <c r="F84" s="12"/>
      <c r="G84" s="12"/>
      <c r="H84" s="14"/>
      <c r="I84" s="15" t="str">
        <f aca="false">IF(OR(E84="",H84=""),"",E84*H84)</f>
        <v/>
      </c>
      <c r="J84" s="12"/>
    </row>
    <row r="85" customFormat="false" ht="15" hidden="false" customHeight="false" outlineLevel="0" collapsed="false">
      <c r="A85" s="12"/>
      <c r="B85" s="12"/>
      <c r="C85" s="12"/>
      <c r="D85" s="13"/>
      <c r="E85" s="12"/>
      <c r="F85" s="12"/>
      <c r="G85" s="12"/>
      <c r="H85" s="14"/>
      <c r="I85" s="15" t="str">
        <f aca="false">IF(OR(E85="",H85=""),"",E85*H85)</f>
        <v/>
      </c>
      <c r="J85" s="12"/>
    </row>
    <row r="86" customFormat="false" ht="15" hidden="false" customHeight="false" outlineLevel="0" collapsed="false">
      <c r="A86" s="12"/>
      <c r="B86" s="12"/>
      <c r="C86" s="12"/>
      <c r="D86" s="13"/>
      <c r="E86" s="12"/>
      <c r="F86" s="12"/>
      <c r="G86" s="12"/>
      <c r="H86" s="14"/>
      <c r="I86" s="15" t="str">
        <f aca="false">IF(OR(E86="",H86=""),"",E86*H86)</f>
        <v/>
      </c>
      <c r="J86" s="12"/>
    </row>
    <row r="87" customFormat="false" ht="15" hidden="false" customHeight="false" outlineLevel="0" collapsed="false">
      <c r="A87" s="12"/>
      <c r="B87" s="12"/>
      <c r="C87" s="12"/>
      <c r="D87" s="13"/>
      <c r="E87" s="12"/>
      <c r="F87" s="12"/>
      <c r="G87" s="12"/>
      <c r="H87" s="14"/>
      <c r="I87" s="15" t="str">
        <f aca="false">IF(OR(E87="",H87=""),"",E87*H87)</f>
        <v/>
      </c>
      <c r="J87" s="12"/>
    </row>
    <row r="88" customFormat="false" ht="15" hidden="false" customHeight="false" outlineLevel="0" collapsed="false">
      <c r="A88" s="12"/>
      <c r="B88" s="12"/>
      <c r="C88" s="12"/>
      <c r="D88" s="13"/>
      <c r="E88" s="12"/>
      <c r="F88" s="12"/>
      <c r="G88" s="12"/>
      <c r="H88" s="14"/>
      <c r="I88" s="15" t="str">
        <f aca="false">IF(OR(E88="",H88=""),"",E88*H88)</f>
        <v/>
      </c>
      <c r="J88" s="12"/>
    </row>
    <row r="89" customFormat="false" ht="15" hidden="false" customHeight="false" outlineLevel="0" collapsed="false">
      <c r="A89" s="12"/>
      <c r="B89" s="12"/>
      <c r="C89" s="12"/>
      <c r="D89" s="13"/>
      <c r="E89" s="12"/>
      <c r="F89" s="12"/>
      <c r="G89" s="12"/>
      <c r="H89" s="14"/>
      <c r="I89" s="15" t="str">
        <f aca="false">IF(OR(E89="",H89=""),"",E89*H89)</f>
        <v/>
      </c>
      <c r="J89" s="12"/>
    </row>
    <row r="90" customFormat="false" ht="15" hidden="false" customHeight="false" outlineLevel="0" collapsed="false">
      <c r="A90" s="12"/>
      <c r="B90" s="12"/>
      <c r="C90" s="12"/>
      <c r="D90" s="13"/>
      <c r="E90" s="12"/>
      <c r="F90" s="12"/>
      <c r="G90" s="12"/>
      <c r="H90" s="14"/>
      <c r="I90" s="15" t="str">
        <f aca="false">IF(OR(E90="",H90=""),"",E90*H90)</f>
        <v/>
      </c>
      <c r="J90" s="12"/>
    </row>
    <row r="91" customFormat="false" ht="15" hidden="false" customHeight="false" outlineLevel="0" collapsed="false">
      <c r="A91" s="12"/>
      <c r="B91" s="12"/>
      <c r="C91" s="12"/>
      <c r="D91" s="13"/>
      <c r="E91" s="12"/>
      <c r="F91" s="12"/>
      <c r="G91" s="12"/>
      <c r="H91" s="14"/>
      <c r="I91" s="15" t="str">
        <f aca="false">IF(OR(E91="",H91=""),"",E91*H91)</f>
        <v/>
      </c>
      <c r="J91" s="12"/>
    </row>
    <row r="92" customFormat="false" ht="15" hidden="false" customHeight="false" outlineLevel="0" collapsed="false">
      <c r="A92" s="12"/>
      <c r="B92" s="12"/>
      <c r="C92" s="12"/>
      <c r="D92" s="13"/>
      <c r="E92" s="12"/>
      <c r="F92" s="12"/>
      <c r="G92" s="12"/>
      <c r="H92" s="14"/>
      <c r="I92" s="15" t="str">
        <f aca="false">IF(OR(E92="",H92=""),"",E92*H92)</f>
        <v/>
      </c>
      <c r="J92" s="12"/>
    </row>
    <row r="93" customFormat="false" ht="15" hidden="false" customHeight="false" outlineLevel="0" collapsed="false">
      <c r="A93" s="12"/>
      <c r="B93" s="12"/>
      <c r="C93" s="12"/>
      <c r="D93" s="13"/>
      <c r="E93" s="12"/>
      <c r="F93" s="12"/>
      <c r="G93" s="12"/>
      <c r="H93" s="14"/>
      <c r="I93" s="15" t="str">
        <f aca="false">IF(OR(E93="",H93=""),"",E93*H93)</f>
        <v/>
      </c>
      <c r="J93" s="12"/>
    </row>
    <row r="94" customFormat="false" ht="15" hidden="false" customHeight="false" outlineLevel="0" collapsed="false">
      <c r="A94" s="12"/>
      <c r="B94" s="12"/>
      <c r="C94" s="12"/>
      <c r="D94" s="13"/>
      <c r="E94" s="12"/>
      <c r="F94" s="12"/>
      <c r="G94" s="12"/>
      <c r="H94" s="14"/>
      <c r="I94" s="15" t="str">
        <f aca="false">IF(OR(E94="",H94=""),"",E94*H94)</f>
        <v/>
      </c>
      <c r="J94" s="12"/>
    </row>
    <row r="95" customFormat="false" ht="15" hidden="false" customHeight="false" outlineLevel="0" collapsed="false">
      <c r="A95" s="12"/>
      <c r="B95" s="12"/>
      <c r="C95" s="12"/>
      <c r="D95" s="13"/>
      <c r="E95" s="12"/>
      <c r="F95" s="12"/>
      <c r="G95" s="12"/>
      <c r="H95" s="14"/>
      <c r="I95" s="15" t="str">
        <f aca="false">IF(OR(E95="",H95=""),"",E95*H95)</f>
        <v/>
      </c>
      <c r="J95" s="12"/>
    </row>
    <row r="96" customFormat="false" ht="15" hidden="false" customHeight="false" outlineLevel="0" collapsed="false">
      <c r="A96" s="12"/>
      <c r="B96" s="12"/>
      <c r="C96" s="12"/>
      <c r="D96" s="13"/>
      <c r="E96" s="12"/>
      <c r="F96" s="12"/>
      <c r="G96" s="12"/>
      <c r="H96" s="14"/>
      <c r="I96" s="15" t="str">
        <f aca="false">IF(OR(E96="",H96=""),"",E96*H96)</f>
        <v/>
      </c>
      <c r="J96" s="12"/>
    </row>
    <row r="97" customFormat="false" ht="15" hidden="false" customHeight="false" outlineLevel="0" collapsed="false">
      <c r="A97" s="12"/>
      <c r="B97" s="12"/>
      <c r="C97" s="12"/>
      <c r="D97" s="13"/>
      <c r="E97" s="12"/>
      <c r="F97" s="12"/>
      <c r="G97" s="12"/>
      <c r="H97" s="14"/>
      <c r="I97" s="15" t="str">
        <f aca="false">IF(OR(E97="",H97=""),"",E97*H97)</f>
        <v/>
      </c>
      <c r="J97" s="12"/>
    </row>
    <row r="98" customFormat="false" ht="15" hidden="false" customHeight="false" outlineLevel="0" collapsed="false">
      <c r="A98" s="12"/>
      <c r="B98" s="12"/>
      <c r="C98" s="12"/>
      <c r="D98" s="13"/>
      <c r="E98" s="12"/>
      <c r="F98" s="12"/>
      <c r="G98" s="12"/>
      <c r="H98" s="14"/>
      <c r="I98" s="15" t="str">
        <f aca="false">IF(OR(E98="",H98=""),"",E98*H98)</f>
        <v/>
      </c>
      <c r="J98" s="12"/>
    </row>
    <row r="99" customFormat="false" ht="15" hidden="false" customHeight="false" outlineLevel="0" collapsed="false">
      <c r="A99" s="12"/>
      <c r="B99" s="12"/>
      <c r="C99" s="12"/>
      <c r="D99" s="13"/>
      <c r="E99" s="12"/>
      <c r="F99" s="12"/>
      <c r="G99" s="12"/>
      <c r="H99" s="14"/>
      <c r="I99" s="15" t="str">
        <f aca="false">IF(OR(E99="",H99=""),"",E99*H99)</f>
        <v/>
      </c>
      <c r="J99" s="12"/>
    </row>
    <row r="100" customFormat="false" ht="15" hidden="false" customHeight="false" outlineLevel="0" collapsed="false">
      <c r="A100" s="12"/>
      <c r="B100" s="12"/>
      <c r="C100" s="12"/>
      <c r="D100" s="13"/>
      <c r="E100" s="12"/>
      <c r="F100" s="12"/>
      <c r="G100" s="12"/>
      <c r="H100" s="14"/>
      <c r="I100" s="15" t="str">
        <f aca="false">IF(OR(E100="",H100=""),"",E100*H100)</f>
        <v/>
      </c>
      <c r="J100" s="12"/>
    </row>
    <row r="101" customFormat="false" ht="15" hidden="false" customHeight="false" outlineLevel="0" collapsed="false">
      <c r="A101" s="12"/>
      <c r="B101" s="12"/>
      <c r="C101" s="12"/>
      <c r="D101" s="13"/>
      <c r="E101" s="12"/>
      <c r="F101" s="12"/>
      <c r="G101" s="12"/>
      <c r="H101" s="14"/>
      <c r="I101" s="15" t="str">
        <f aca="false">IF(OR(E101="",H101=""),"",E101*H101)</f>
        <v/>
      </c>
      <c r="J101" s="12"/>
    </row>
    <row r="102" customFormat="false" ht="15" hidden="false" customHeight="false" outlineLevel="0" collapsed="false">
      <c r="A102" s="12"/>
      <c r="B102" s="12"/>
      <c r="C102" s="12"/>
      <c r="D102" s="13"/>
      <c r="E102" s="12"/>
      <c r="F102" s="12"/>
      <c r="G102" s="12"/>
      <c r="H102" s="14"/>
      <c r="I102" s="15" t="str">
        <f aca="false">IF(OR(E102="",H102=""),"",E102*H102)</f>
        <v/>
      </c>
      <c r="J102" s="12"/>
    </row>
    <row r="103" customFormat="false" ht="15" hidden="false" customHeight="false" outlineLevel="0" collapsed="false">
      <c r="A103" s="12"/>
      <c r="B103" s="12"/>
      <c r="C103" s="12"/>
      <c r="D103" s="13"/>
      <c r="E103" s="12"/>
      <c r="F103" s="12"/>
      <c r="G103" s="12"/>
      <c r="H103" s="14"/>
      <c r="I103" s="15" t="str">
        <f aca="false">IF(OR(E103="",H103=""),"",E103*H103)</f>
        <v/>
      </c>
      <c r="J103" s="12"/>
    </row>
    <row r="104" customFormat="false" ht="15" hidden="false" customHeight="false" outlineLevel="0" collapsed="false">
      <c r="A104" s="12"/>
      <c r="B104" s="12"/>
      <c r="C104" s="12"/>
      <c r="D104" s="13"/>
      <c r="E104" s="12"/>
      <c r="F104" s="12"/>
      <c r="G104" s="12"/>
      <c r="H104" s="14"/>
      <c r="I104" s="15" t="str">
        <f aca="false">IF(OR(E104="",H104=""),"",E104*H104)</f>
        <v/>
      </c>
      <c r="J104" s="12"/>
    </row>
    <row r="105" customFormat="false" ht="15" hidden="false" customHeight="false" outlineLevel="0" collapsed="false">
      <c r="A105" s="12"/>
      <c r="B105" s="12"/>
      <c r="C105" s="12"/>
      <c r="D105" s="13"/>
      <c r="E105" s="12"/>
      <c r="F105" s="12"/>
      <c r="G105" s="12"/>
      <c r="H105" s="14"/>
      <c r="I105" s="15" t="str">
        <f aca="false">IF(OR(E105="",H105=""),"",E105*H105)</f>
        <v/>
      </c>
      <c r="J105" s="12"/>
    </row>
    <row r="106" customFormat="false" ht="15" hidden="false" customHeight="false" outlineLevel="0" collapsed="false">
      <c r="A106" s="12"/>
      <c r="B106" s="12"/>
      <c r="C106" s="12"/>
      <c r="D106" s="13"/>
      <c r="E106" s="12"/>
      <c r="F106" s="12"/>
      <c r="G106" s="12"/>
      <c r="H106" s="14"/>
      <c r="I106" s="15" t="str">
        <f aca="false">IF(OR(E106="",H106=""),"",E106*H106)</f>
        <v/>
      </c>
      <c r="J106" s="12"/>
    </row>
    <row r="107" customFormat="false" ht="15" hidden="false" customHeight="false" outlineLevel="0" collapsed="false">
      <c r="A107" s="12"/>
      <c r="B107" s="12"/>
      <c r="C107" s="12"/>
      <c r="D107" s="13"/>
      <c r="E107" s="12"/>
      <c r="F107" s="12"/>
      <c r="G107" s="12"/>
      <c r="H107" s="14"/>
      <c r="I107" s="15" t="str">
        <f aca="false">IF(OR(E107="",H107=""),"",E107*H107)</f>
        <v/>
      </c>
      <c r="J107" s="12"/>
    </row>
    <row r="108" customFormat="false" ht="15" hidden="false" customHeight="false" outlineLevel="0" collapsed="false">
      <c r="A108" s="12"/>
      <c r="B108" s="12"/>
      <c r="C108" s="12"/>
      <c r="D108" s="13"/>
      <c r="E108" s="12"/>
      <c r="F108" s="12"/>
      <c r="G108" s="12"/>
      <c r="H108" s="14"/>
      <c r="I108" s="15" t="str">
        <f aca="false">IF(OR(E108="",H108=""),"",E108*H108)</f>
        <v/>
      </c>
      <c r="J108" s="12"/>
    </row>
    <row r="109" customFormat="false" ht="15" hidden="false" customHeight="false" outlineLevel="0" collapsed="false">
      <c r="A109" s="12"/>
      <c r="B109" s="12"/>
      <c r="C109" s="12"/>
      <c r="D109" s="13"/>
      <c r="E109" s="12"/>
      <c r="F109" s="12"/>
      <c r="G109" s="12"/>
      <c r="H109" s="14"/>
      <c r="I109" s="15" t="str">
        <f aca="false">IF(OR(E109="",H109=""),"",E109*H109)</f>
        <v/>
      </c>
      <c r="J109" s="12"/>
    </row>
    <row r="110" customFormat="false" ht="15" hidden="false" customHeight="false" outlineLevel="0" collapsed="false">
      <c r="A110" s="12"/>
      <c r="B110" s="12"/>
      <c r="C110" s="12"/>
      <c r="D110" s="13"/>
      <c r="E110" s="12"/>
      <c r="F110" s="12"/>
      <c r="G110" s="12"/>
      <c r="H110" s="14"/>
      <c r="I110" s="15" t="str">
        <f aca="false">IF(OR(E110="",H110=""),"",E110*H110)</f>
        <v/>
      </c>
      <c r="J110" s="12"/>
    </row>
    <row r="111" customFormat="false" ht="15" hidden="false" customHeight="false" outlineLevel="0" collapsed="false">
      <c r="A111" s="12"/>
      <c r="B111" s="12"/>
      <c r="C111" s="12"/>
      <c r="D111" s="13"/>
      <c r="E111" s="12"/>
      <c r="F111" s="12"/>
      <c r="G111" s="12"/>
      <c r="H111" s="14"/>
      <c r="I111" s="15" t="str">
        <f aca="false">IF(OR(E111="",H111=""),"",E111*H111)</f>
        <v/>
      </c>
      <c r="J111" s="12"/>
    </row>
    <row r="112" customFormat="false" ht="15" hidden="false" customHeight="false" outlineLevel="0" collapsed="false">
      <c r="A112" s="12"/>
      <c r="B112" s="12"/>
      <c r="C112" s="12"/>
      <c r="D112" s="13"/>
      <c r="E112" s="12"/>
      <c r="F112" s="12"/>
      <c r="G112" s="12"/>
      <c r="H112" s="14"/>
      <c r="I112" s="15" t="str">
        <f aca="false">IF(OR(E112="",H112=""),"",E112*H112)</f>
        <v/>
      </c>
      <c r="J112" s="12"/>
    </row>
    <row r="113" customFormat="false" ht="15" hidden="false" customHeight="false" outlineLevel="0" collapsed="false">
      <c r="A113" s="12"/>
      <c r="B113" s="12"/>
      <c r="C113" s="12"/>
      <c r="D113" s="13"/>
      <c r="E113" s="12"/>
      <c r="F113" s="12"/>
      <c r="G113" s="12"/>
      <c r="H113" s="14"/>
      <c r="I113" s="15" t="str">
        <f aca="false">IF(OR(E113="",H113=""),"",E113*H113)</f>
        <v/>
      </c>
      <c r="J113" s="12"/>
    </row>
    <row r="114" customFormat="false" ht="15" hidden="false" customHeight="false" outlineLevel="0" collapsed="false">
      <c r="A114" s="12"/>
      <c r="B114" s="12"/>
      <c r="C114" s="12"/>
      <c r="D114" s="13"/>
      <c r="E114" s="12"/>
      <c r="F114" s="12"/>
      <c r="G114" s="12"/>
      <c r="H114" s="14"/>
      <c r="I114" s="15" t="str">
        <f aca="false">IF(OR(E114="",H114=""),"",E114*H114)</f>
        <v/>
      </c>
      <c r="J114" s="12"/>
    </row>
    <row r="115" customFormat="false" ht="15" hidden="false" customHeight="false" outlineLevel="0" collapsed="false">
      <c r="A115" s="12"/>
      <c r="B115" s="12"/>
      <c r="C115" s="12"/>
      <c r="D115" s="13"/>
      <c r="E115" s="12"/>
      <c r="F115" s="12"/>
      <c r="G115" s="12"/>
      <c r="H115" s="14"/>
      <c r="I115" s="15" t="str">
        <f aca="false">IF(OR(E115="",H115=""),"",E115*H115)</f>
        <v/>
      </c>
      <c r="J115" s="12"/>
    </row>
    <row r="116" customFormat="false" ht="15" hidden="false" customHeight="false" outlineLevel="0" collapsed="false">
      <c r="A116" s="12"/>
      <c r="B116" s="12"/>
      <c r="C116" s="12"/>
      <c r="D116" s="13"/>
      <c r="E116" s="12"/>
      <c r="F116" s="12"/>
      <c r="G116" s="12"/>
      <c r="H116" s="14"/>
      <c r="I116" s="15" t="str">
        <f aca="false">IF(OR(E116="",H116=""),"",E116*H116)</f>
        <v/>
      </c>
      <c r="J116" s="12"/>
    </row>
    <row r="117" customFormat="false" ht="15" hidden="false" customHeight="false" outlineLevel="0" collapsed="false">
      <c r="A117" s="12"/>
      <c r="B117" s="12"/>
      <c r="C117" s="12"/>
      <c r="D117" s="13"/>
      <c r="E117" s="12"/>
      <c r="F117" s="12"/>
      <c r="G117" s="12"/>
      <c r="H117" s="14"/>
      <c r="I117" s="15" t="str">
        <f aca="false">IF(OR(E117="",H117=""),"",E117*H117)</f>
        <v/>
      </c>
      <c r="J117" s="12"/>
    </row>
    <row r="118" customFormat="false" ht="15" hidden="false" customHeight="false" outlineLevel="0" collapsed="false">
      <c r="A118" s="12"/>
      <c r="B118" s="12"/>
      <c r="C118" s="12"/>
      <c r="D118" s="13"/>
      <c r="E118" s="12"/>
      <c r="F118" s="12"/>
      <c r="G118" s="12"/>
      <c r="H118" s="14"/>
      <c r="I118" s="15" t="str">
        <f aca="false">IF(OR(E118="",H118=""),"",E118*H118)</f>
        <v/>
      </c>
      <c r="J118" s="12"/>
    </row>
    <row r="119" customFormat="false" ht="15" hidden="false" customHeight="false" outlineLevel="0" collapsed="false">
      <c r="A119" s="12"/>
      <c r="B119" s="12"/>
      <c r="C119" s="12"/>
      <c r="D119" s="13"/>
      <c r="E119" s="12"/>
      <c r="F119" s="12"/>
      <c r="G119" s="12"/>
      <c r="H119" s="14"/>
      <c r="I119" s="15" t="str">
        <f aca="false">IF(OR(E119="",H119=""),"",E119*H119)</f>
        <v/>
      </c>
      <c r="J119" s="12"/>
    </row>
    <row r="120" customFormat="false" ht="15" hidden="false" customHeight="false" outlineLevel="0" collapsed="false">
      <c r="A120" s="12"/>
      <c r="B120" s="12"/>
      <c r="C120" s="12"/>
      <c r="D120" s="13"/>
      <c r="E120" s="12"/>
      <c r="F120" s="12"/>
      <c r="G120" s="12"/>
      <c r="H120" s="14"/>
      <c r="I120" s="15" t="str">
        <f aca="false">IF(OR(E120="",H120=""),"",E120*H120)</f>
        <v/>
      </c>
      <c r="J120" s="12"/>
    </row>
    <row r="121" customFormat="false" ht="15" hidden="false" customHeight="false" outlineLevel="0" collapsed="false">
      <c r="A121" s="12"/>
      <c r="B121" s="12"/>
      <c r="C121" s="12"/>
      <c r="D121" s="13"/>
      <c r="E121" s="12"/>
      <c r="F121" s="12"/>
      <c r="G121" s="12"/>
      <c r="H121" s="14"/>
      <c r="I121" s="15" t="str">
        <f aca="false">IF(OR(E121="",H121=""),"",E121*H121)</f>
        <v/>
      </c>
      <c r="J121" s="12"/>
    </row>
    <row r="122" customFormat="false" ht="15" hidden="false" customHeight="false" outlineLevel="0" collapsed="false">
      <c r="A122" s="12"/>
      <c r="B122" s="12"/>
      <c r="C122" s="12"/>
      <c r="D122" s="13"/>
      <c r="E122" s="12"/>
      <c r="F122" s="12"/>
      <c r="G122" s="12"/>
      <c r="H122" s="14"/>
      <c r="I122" s="15" t="str">
        <f aca="false">IF(OR(E122="",H122=""),"",E122*H122)</f>
        <v/>
      </c>
      <c r="J122" s="12"/>
    </row>
    <row r="123" customFormat="false" ht="15" hidden="false" customHeight="false" outlineLevel="0" collapsed="false">
      <c r="A123" s="12"/>
      <c r="B123" s="12"/>
      <c r="C123" s="12"/>
      <c r="D123" s="13"/>
      <c r="E123" s="12"/>
      <c r="F123" s="12"/>
      <c r="G123" s="12"/>
      <c r="H123" s="14"/>
      <c r="I123" s="15" t="str">
        <f aca="false">IF(OR(E123="",H123=""),"",E123*H123)</f>
        <v/>
      </c>
      <c r="J123" s="12"/>
    </row>
    <row r="124" customFormat="false" ht="15" hidden="false" customHeight="false" outlineLevel="0" collapsed="false">
      <c r="A124" s="12"/>
      <c r="B124" s="12"/>
      <c r="C124" s="12"/>
      <c r="D124" s="13"/>
      <c r="E124" s="12"/>
      <c r="F124" s="12"/>
      <c r="G124" s="12"/>
      <c r="H124" s="14"/>
      <c r="I124" s="15" t="str">
        <f aca="false">IF(OR(E124="",H124=""),"",E124*H124)</f>
        <v/>
      </c>
      <c r="J124" s="12"/>
    </row>
    <row r="125" customFormat="false" ht="15" hidden="false" customHeight="false" outlineLevel="0" collapsed="false">
      <c r="A125" s="12"/>
      <c r="B125" s="12"/>
      <c r="C125" s="12"/>
      <c r="D125" s="13"/>
      <c r="E125" s="12"/>
      <c r="F125" s="12"/>
      <c r="G125" s="12"/>
      <c r="H125" s="14"/>
      <c r="I125" s="15" t="str">
        <f aca="false">IF(OR(E125="",H125=""),"",E125*H125)</f>
        <v/>
      </c>
      <c r="J125" s="12"/>
    </row>
    <row r="126" customFormat="false" ht="15" hidden="false" customHeight="false" outlineLevel="0" collapsed="false">
      <c r="A126" s="12"/>
      <c r="B126" s="12"/>
      <c r="C126" s="12"/>
      <c r="D126" s="13"/>
      <c r="E126" s="12"/>
      <c r="F126" s="12"/>
      <c r="G126" s="12"/>
      <c r="H126" s="14"/>
      <c r="I126" s="15" t="str">
        <f aca="false">IF(OR(E126="",H126=""),"",E126*H126)</f>
        <v/>
      </c>
      <c r="J126" s="12"/>
    </row>
    <row r="127" customFormat="false" ht="15" hidden="false" customHeight="false" outlineLevel="0" collapsed="false">
      <c r="A127" s="12"/>
      <c r="B127" s="12"/>
      <c r="C127" s="12"/>
      <c r="D127" s="13"/>
      <c r="E127" s="12"/>
      <c r="F127" s="12"/>
      <c r="G127" s="12"/>
      <c r="H127" s="14"/>
      <c r="I127" s="15" t="str">
        <f aca="false">IF(OR(E127="",H127=""),"",E127*H127)</f>
        <v/>
      </c>
      <c r="J127" s="12"/>
    </row>
    <row r="128" customFormat="false" ht="15" hidden="false" customHeight="false" outlineLevel="0" collapsed="false">
      <c r="A128" s="12"/>
      <c r="B128" s="12"/>
      <c r="C128" s="12"/>
      <c r="D128" s="13"/>
      <c r="E128" s="12"/>
      <c r="F128" s="12"/>
      <c r="G128" s="12"/>
      <c r="H128" s="14"/>
      <c r="I128" s="15" t="str">
        <f aca="false">IF(OR(E128="",H128=""),"",E128*H128)</f>
        <v/>
      </c>
      <c r="J128" s="12"/>
    </row>
    <row r="129" customFormat="false" ht="15" hidden="false" customHeight="false" outlineLevel="0" collapsed="false">
      <c r="A129" s="12"/>
      <c r="B129" s="12"/>
      <c r="C129" s="12"/>
      <c r="D129" s="13"/>
      <c r="E129" s="12"/>
      <c r="F129" s="12"/>
      <c r="G129" s="12"/>
      <c r="H129" s="14"/>
      <c r="I129" s="15" t="str">
        <f aca="false">IF(OR(E129="",H129=""),"",E129*H129)</f>
        <v/>
      </c>
      <c r="J129" s="12"/>
    </row>
    <row r="130" customFormat="false" ht="15" hidden="false" customHeight="false" outlineLevel="0" collapsed="false">
      <c r="A130" s="12"/>
      <c r="B130" s="12"/>
      <c r="C130" s="12"/>
      <c r="D130" s="13"/>
      <c r="E130" s="12"/>
      <c r="F130" s="12"/>
      <c r="G130" s="12"/>
      <c r="H130" s="14"/>
      <c r="I130" s="15" t="str">
        <f aca="false">IF(OR(E130="",H130=""),"",E130*H130)</f>
        <v/>
      </c>
      <c r="J130" s="12"/>
    </row>
    <row r="131" customFormat="false" ht="15" hidden="false" customHeight="false" outlineLevel="0" collapsed="false">
      <c r="A131" s="12"/>
      <c r="B131" s="12"/>
      <c r="C131" s="12"/>
      <c r="D131" s="13"/>
      <c r="E131" s="12"/>
      <c r="F131" s="12"/>
      <c r="G131" s="12"/>
      <c r="H131" s="14"/>
      <c r="I131" s="15" t="str">
        <f aca="false">IF(OR(E131="",H131=""),"",E131*H131)</f>
        <v/>
      </c>
      <c r="J131" s="12"/>
    </row>
    <row r="132" customFormat="false" ht="15" hidden="false" customHeight="false" outlineLevel="0" collapsed="false">
      <c r="A132" s="12"/>
      <c r="B132" s="12"/>
      <c r="C132" s="12"/>
      <c r="D132" s="13"/>
      <c r="E132" s="12"/>
      <c r="F132" s="12"/>
      <c r="G132" s="12"/>
      <c r="H132" s="14"/>
      <c r="I132" s="15" t="str">
        <f aca="false">IF(OR(E132="",H132=""),"",E132*H132)</f>
        <v/>
      </c>
      <c r="J132" s="12"/>
    </row>
    <row r="133" customFormat="false" ht="15" hidden="false" customHeight="false" outlineLevel="0" collapsed="false">
      <c r="A133" s="12"/>
      <c r="B133" s="12"/>
      <c r="C133" s="12"/>
      <c r="D133" s="13"/>
      <c r="E133" s="12"/>
      <c r="F133" s="12"/>
      <c r="G133" s="12"/>
      <c r="H133" s="14"/>
      <c r="I133" s="15" t="str">
        <f aca="false">IF(OR(E133="",H133=""),"",E133*H133)</f>
        <v/>
      </c>
      <c r="J133" s="12"/>
    </row>
    <row r="134" customFormat="false" ht="15" hidden="false" customHeight="false" outlineLevel="0" collapsed="false">
      <c r="A134" s="12"/>
      <c r="B134" s="12"/>
      <c r="C134" s="12"/>
      <c r="D134" s="13"/>
      <c r="E134" s="12"/>
      <c r="F134" s="12"/>
      <c r="G134" s="12"/>
      <c r="H134" s="14"/>
      <c r="I134" s="15" t="str">
        <f aca="false">IF(OR(E134="",H134=""),"",E134*H134)</f>
        <v/>
      </c>
      <c r="J134" s="12"/>
    </row>
    <row r="135" customFormat="false" ht="15" hidden="false" customHeight="false" outlineLevel="0" collapsed="false">
      <c r="A135" s="12"/>
      <c r="B135" s="12"/>
      <c r="C135" s="12"/>
      <c r="D135" s="13"/>
      <c r="E135" s="12"/>
      <c r="F135" s="12"/>
      <c r="G135" s="12"/>
      <c r="H135" s="14"/>
      <c r="I135" s="15" t="str">
        <f aca="false">IF(OR(E135="",H135=""),"",E135*H135)</f>
        <v/>
      </c>
      <c r="J135" s="12"/>
    </row>
    <row r="136" customFormat="false" ht="15" hidden="false" customHeight="false" outlineLevel="0" collapsed="false">
      <c r="A136" s="12"/>
      <c r="B136" s="12"/>
      <c r="C136" s="12"/>
      <c r="D136" s="13"/>
      <c r="E136" s="12"/>
      <c r="F136" s="12"/>
      <c r="G136" s="12"/>
      <c r="H136" s="14"/>
      <c r="I136" s="15" t="str">
        <f aca="false">IF(OR(E136="",H136=""),"",E136*H136)</f>
        <v/>
      </c>
      <c r="J136" s="12"/>
    </row>
    <row r="137" customFormat="false" ht="15" hidden="false" customHeight="false" outlineLevel="0" collapsed="false">
      <c r="A137" s="12"/>
      <c r="B137" s="12"/>
      <c r="C137" s="12"/>
      <c r="D137" s="13"/>
      <c r="E137" s="12"/>
      <c r="F137" s="12"/>
      <c r="G137" s="12"/>
      <c r="H137" s="14"/>
      <c r="I137" s="15" t="str">
        <f aca="false">IF(OR(E137="",H137=""),"",E137*H137)</f>
        <v/>
      </c>
      <c r="J137" s="12"/>
    </row>
    <row r="138" customFormat="false" ht="15" hidden="false" customHeight="false" outlineLevel="0" collapsed="false">
      <c r="A138" s="12"/>
      <c r="B138" s="12"/>
      <c r="C138" s="12"/>
      <c r="D138" s="13"/>
      <c r="E138" s="12"/>
      <c r="F138" s="12"/>
      <c r="G138" s="12"/>
      <c r="H138" s="14"/>
      <c r="I138" s="15" t="str">
        <f aca="false">IF(OR(E138="",H138=""),"",E138*H138)</f>
        <v/>
      </c>
      <c r="J138" s="12"/>
    </row>
    <row r="139" customFormat="false" ht="15" hidden="false" customHeight="false" outlineLevel="0" collapsed="false">
      <c r="A139" s="12"/>
      <c r="B139" s="12"/>
      <c r="C139" s="12"/>
      <c r="D139" s="13"/>
      <c r="E139" s="12"/>
      <c r="F139" s="12"/>
      <c r="G139" s="12"/>
      <c r="H139" s="14"/>
      <c r="I139" s="15" t="str">
        <f aca="false">IF(OR(E139="",H139=""),"",E139*H139)</f>
        <v/>
      </c>
      <c r="J139" s="12"/>
    </row>
    <row r="140" customFormat="false" ht="15" hidden="false" customHeight="false" outlineLevel="0" collapsed="false">
      <c r="A140" s="12"/>
      <c r="B140" s="12"/>
      <c r="C140" s="12"/>
      <c r="D140" s="13"/>
      <c r="E140" s="12"/>
      <c r="F140" s="12"/>
      <c r="G140" s="12"/>
      <c r="H140" s="14"/>
      <c r="I140" s="15" t="str">
        <f aca="false">IF(OR(E140="",H140=""),"",E140*H140)</f>
        <v/>
      </c>
      <c r="J140" s="12"/>
    </row>
    <row r="141" customFormat="false" ht="15" hidden="false" customHeight="false" outlineLevel="0" collapsed="false">
      <c r="A141" s="12"/>
      <c r="B141" s="12"/>
      <c r="C141" s="12"/>
      <c r="D141" s="13"/>
      <c r="E141" s="12"/>
      <c r="F141" s="12"/>
      <c r="G141" s="12"/>
      <c r="H141" s="14"/>
      <c r="I141" s="15" t="str">
        <f aca="false">IF(OR(E141="",H141=""),"",E141*H141)</f>
        <v/>
      </c>
      <c r="J141" s="12"/>
    </row>
    <row r="142" customFormat="false" ht="15" hidden="false" customHeight="false" outlineLevel="0" collapsed="false">
      <c r="A142" s="12"/>
      <c r="B142" s="12"/>
      <c r="C142" s="12"/>
      <c r="D142" s="13"/>
      <c r="E142" s="12"/>
      <c r="F142" s="12"/>
      <c r="G142" s="12"/>
      <c r="H142" s="14"/>
      <c r="I142" s="15" t="str">
        <f aca="false">IF(OR(E142="",H142=""),"",E142*H142)</f>
        <v/>
      </c>
      <c r="J142" s="12"/>
    </row>
    <row r="143" customFormat="false" ht="15" hidden="false" customHeight="false" outlineLevel="0" collapsed="false">
      <c r="A143" s="12"/>
      <c r="B143" s="12"/>
      <c r="C143" s="12"/>
      <c r="D143" s="13"/>
      <c r="E143" s="12"/>
      <c r="F143" s="12"/>
      <c r="G143" s="12"/>
      <c r="H143" s="14"/>
      <c r="I143" s="15" t="str">
        <f aca="false">IF(OR(E143="",H143=""),"",E143*H143)</f>
        <v/>
      </c>
      <c r="J143" s="12"/>
    </row>
    <row r="144" customFormat="false" ht="15" hidden="false" customHeight="false" outlineLevel="0" collapsed="false">
      <c r="A144" s="12"/>
      <c r="B144" s="12"/>
      <c r="C144" s="12"/>
      <c r="D144" s="13"/>
      <c r="E144" s="12"/>
      <c r="F144" s="12"/>
      <c r="G144" s="12"/>
      <c r="H144" s="14"/>
      <c r="I144" s="15" t="str">
        <f aca="false">IF(OR(E144="",H144=""),"",E144*H144)</f>
        <v/>
      </c>
      <c r="J144" s="12"/>
    </row>
    <row r="145" customFormat="false" ht="15" hidden="false" customHeight="false" outlineLevel="0" collapsed="false">
      <c r="A145" s="12"/>
      <c r="B145" s="12"/>
      <c r="C145" s="12"/>
      <c r="D145" s="13"/>
      <c r="E145" s="12"/>
      <c r="F145" s="12"/>
      <c r="G145" s="12"/>
      <c r="H145" s="14"/>
      <c r="I145" s="15" t="str">
        <f aca="false">IF(OR(E145="",H145=""),"",E145*H145)</f>
        <v/>
      </c>
      <c r="J145" s="12"/>
    </row>
    <row r="146" customFormat="false" ht="15" hidden="false" customHeight="false" outlineLevel="0" collapsed="false">
      <c r="A146" s="12"/>
      <c r="B146" s="12"/>
      <c r="C146" s="12"/>
      <c r="D146" s="13"/>
      <c r="E146" s="12"/>
      <c r="F146" s="12"/>
      <c r="G146" s="12"/>
      <c r="H146" s="14"/>
      <c r="I146" s="15" t="str">
        <f aca="false">IF(OR(E146="",H146=""),"",E146*H146)</f>
        <v/>
      </c>
      <c r="J146" s="12"/>
    </row>
    <row r="147" customFormat="false" ht="15" hidden="false" customHeight="false" outlineLevel="0" collapsed="false">
      <c r="A147" s="12"/>
      <c r="B147" s="12"/>
      <c r="C147" s="12"/>
      <c r="D147" s="13"/>
      <c r="E147" s="12"/>
      <c r="F147" s="12"/>
      <c r="G147" s="12"/>
      <c r="H147" s="14"/>
      <c r="I147" s="15" t="str">
        <f aca="false">IF(OR(E147="",H147=""),"",E147*H147)</f>
        <v/>
      </c>
      <c r="J147" s="12"/>
    </row>
    <row r="148" customFormat="false" ht="15" hidden="false" customHeight="false" outlineLevel="0" collapsed="false">
      <c r="A148" s="12"/>
      <c r="B148" s="12"/>
      <c r="C148" s="12"/>
      <c r="D148" s="13"/>
      <c r="E148" s="12"/>
      <c r="F148" s="12"/>
      <c r="G148" s="12"/>
      <c r="H148" s="14"/>
      <c r="I148" s="15" t="str">
        <f aca="false">IF(OR(E148="",H148=""),"",E148*H148)</f>
        <v/>
      </c>
      <c r="J148" s="12"/>
    </row>
    <row r="149" customFormat="false" ht="15" hidden="false" customHeight="false" outlineLevel="0" collapsed="false">
      <c r="A149" s="12"/>
      <c r="B149" s="12"/>
      <c r="C149" s="12"/>
      <c r="D149" s="13"/>
      <c r="E149" s="12"/>
      <c r="F149" s="12"/>
      <c r="G149" s="12"/>
      <c r="H149" s="14"/>
      <c r="I149" s="15" t="str">
        <f aca="false">IF(OR(E149="",H149=""),"",E149*H149)</f>
        <v/>
      </c>
      <c r="J149" s="12"/>
    </row>
    <row r="150" customFormat="false" ht="15" hidden="false" customHeight="false" outlineLevel="0" collapsed="false">
      <c r="A150" s="12"/>
      <c r="B150" s="12"/>
      <c r="C150" s="12"/>
      <c r="D150" s="13"/>
      <c r="E150" s="12"/>
      <c r="F150" s="12"/>
      <c r="G150" s="12"/>
      <c r="H150" s="14"/>
      <c r="I150" s="15" t="str">
        <f aca="false">IF(OR(E150="",H150=""),"",E150*H150)</f>
        <v/>
      </c>
      <c r="J150" s="12"/>
    </row>
    <row r="151" customFormat="false" ht="15" hidden="false" customHeight="false" outlineLevel="0" collapsed="false">
      <c r="A151" s="12"/>
      <c r="B151" s="12"/>
      <c r="C151" s="12"/>
      <c r="D151" s="13"/>
      <c r="E151" s="12"/>
      <c r="F151" s="12"/>
      <c r="G151" s="12"/>
      <c r="H151" s="14"/>
      <c r="I151" s="15" t="str">
        <f aca="false">IF(OR(E151="",H151=""),"",E151*H151)</f>
        <v/>
      </c>
      <c r="J151" s="12"/>
    </row>
    <row r="152" customFormat="false" ht="15" hidden="false" customHeight="false" outlineLevel="0" collapsed="false">
      <c r="A152" s="12"/>
      <c r="B152" s="12"/>
      <c r="C152" s="12"/>
      <c r="D152" s="13"/>
      <c r="E152" s="12"/>
      <c r="F152" s="12"/>
      <c r="G152" s="12"/>
      <c r="H152" s="14"/>
      <c r="I152" s="15" t="str">
        <f aca="false">IF(OR(E152="",H152=""),"",E152*H152)</f>
        <v/>
      </c>
      <c r="J152" s="12"/>
    </row>
    <row r="153" customFormat="false" ht="15" hidden="false" customHeight="false" outlineLevel="0" collapsed="false">
      <c r="A153" s="12"/>
      <c r="B153" s="12"/>
      <c r="C153" s="12"/>
      <c r="D153" s="13"/>
      <c r="E153" s="12"/>
      <c r="F153" s="12"/>
      <c r="G153" s="12"/>
      <c r="H153" s="14"/>
      <c r="I153" s="15" t="str">
        <f aca="false">IF(OR(E153="",H153=""),"",E153*H153)</f>
        <v/>
      </c>
      <c r="J153" s="12"/>
    </row>
    <row r="154" customFormat="false" ht="15" hidden="false" customHeight="false" outlineLevel="0" collapsed="false">
      <c r="A154" s="12"/>
      <c r="B154" s="12"/>
      <c r="C154" s="12"/>
      <c r="D154" s="13"/>
      <c r="E154" s="12"/>
      <c r="F154" s="12"/>
      <c r="G154" s="12"/>
      <c r="H154" s="14"/>
      <c r="I154" s="15" t="str">
        <f aca="false">IF(OR(E154="",H154=""),"",E154*H154)</f>
        <v/>
      </c>
      <c r="J154" s="12"/>
    </row>
    <row r="155" customFormat="false" ht="15" hidden="false" customHeight="false" outlineLevel="0" collapsed="false">
      <c r="A155" s="12"/>
      <c r="B155" s="12"/>
      <c r="C155" s="12"/>
      <c r="D155" s="13"/>
      <c r="E155" s="12"/>
      <c r="F155" s="12"/>
      <c r="G155" s="12"/>
      <c r="H155" s="14"/>
      <c r="I155" s="15" t="str">
        <f aca="false">IF(OR(E155="",H155=""),"",E155*H155)</f>
        <v/>
      </c>
      <c r="J155" s="12"/>
    </row>
    <row r="156" customFormat="false" ht="15" hidden="false" customHeight="false" outlineLevel="0" collapsed="false">
      <c r="A156" s="12"/>
      <c r="B156" s="12"/>
      <c r="C156" s="12"/>
      <c r="D156" s="13"/>
      <c r="E156" s="12"/>
      <c r="F156" s="12"/>
      <c r="G156" s="12"/>
      <c r="H156" s="14"/>
      <c r="I156" s="15" t="str">
        <f aca="false">IF(OR(E156="",H156=""),"",E156*H156)</f>
        <v/>
      </c>
      <c r="J156" s="12"/>
    </row>
    <row r="157" customFormat="false" ht="15" hidden="false" customHeight="false" outlineLevel="0" collapsed="false">
      <c r="A157" s="12"/>
      <c r="B157" s="12"/>
      <c r="C157" s="12"/>
      <c r="D157" s="13"/>
      <c r="E157" s="12"/>
      <c r="F157" s="12"/>
      <c r="G157" s="12"/>
      <c r="H157" s="14"/>
      <c r="I157" s="15" t="str">
        <f aca="false">IF(OR(E157="",H157=""),"",E157*H157)</f>
        <v/>
      </c>
      <c r="J157" s="12"/>
    </row>
    <row r="158" customFormat="false" ht="15" hidden="false" customHeight="false" outlineLevel="0" collapsed="false">
      <c r="A158" s="12"/>
      <c r="B158" s="12"/>
      <c r="C158" s="12"/>
      <c r="D158" s="13"/>
      <c r="E158" s="12"/>
      <c r="F158" s="12"/>
      <c r="G158" s="12"/>
      <c r="H158" s="14"/>
      <c r="I158" s="15" t="str">
        <f aca="false">IF(OR(E158="",H158=""),"",E158*H158)</f>
        <v/>
      </c>
      <c r="J158" s="12"/>
    </row>
    <row r="159" customFormat="false" ht="15" hidden="false" customHeight="false" outlineLevel="0" collapsed="false">
      <c r="A159" s="12"/>
      <c r="B159" s="12"/>
      <c r="C159" s="12"/>
      <c r="D159" s="13"/>
      <c r="E159" s="12"/>
      <c r="F159" s="12"/>
      <c r="G159" s="12"/>
      <c r="H159" s="14"/>
      <c r="I159" s="15" t="str">
        <f aca="false">IF(OR(E159="",H159=""),"",E159*H159)</f>
        <v/>
      </c>
      <c r="J159" s="12"/>
    </row>
    <row r="160" customFormat="false" ht="15" hidden="false" customHeight="false" outlineLevel="0" collapsed="false">
      <c r="A160" s="12"/>
      <c r="B160" s="12"/>
      <c r="C160" s="12"/>
      <c r="D160" s="13"/>
      <c r="E160" s="12"/>
      <c r="F160" s="12"/>
      <c r="G160" s="12"/>
      <c r="H160" s="14"/>
      <c r="I160" s="15" t="str">
        <f aca="false">IF(OR(E160="",H160=""),"",E160*H160)</f>
        <v/>
      </c>
      <c r="J160" s="12"/>
    </row>
    <row r="161" customFormat="false" ht="15" hidden="false" customHeight="false" outlineLevel="0" collapsed="false">
      <c r="A161" s="12"/>
      <c r="B161" s="12"/>
      <c r="C161" s="12"/>
      <c r="D161" s="13"/>
      <c r="E161" s="12"/>
      <c r="F161" s="12"/>
      <c r="G161" s="12"/>
      <c r="H161" s="14"/>
      <c r="I161" s="15" t="str">
        <f aca="false">IF(OR(E161="",H161=""),"",E161*H161)</f>
        <v/>
      </c>
      <c r="J161" s="12"/>
    </row>
    <row r="162" customFormat="false" ht="15" hidden="false" customHeight="false" outlineLevel="0" collapsed="false">
      <c r="A162" s="12"/>
      <c r="B162" s="12"/>
      <c r="C162" s="12"/>
      <c r="D162" s="13"/>
      <c r="E162" s="12"/>
      <c r="F162" s="12"/>
      <c r="G162" s="12"/>
      <c r="H162" s="14"/>
      <c r="I162" s="15" t="str">
        <f aca="false">IF(OR(E162="",H162=""),"",E162*H162)</f>
        <v/>
      </c>
      <c r="J162" s="12"/>
    </row>
    <row r="163" customFormat="false" ht="15" hidden="false" customHeight="false" outlineLevel="0" collapsed="false">
      <c r="A163" s="12"/>
      <c r="B163" s="12"/>
      <c r="C163" s="12"/>
      <c r="D163" s="13"/>
      <c r="E163" s="12"/>
      <c r="F163" s="12"/>
      <c r="G163" s="12"/>
      <c r="H163" s="14"/>
      <c r="I163" s="15" t="str">
        <f aca="false">IF(OR(E163="",H163=""),"",E163*H163)</f>
        <v/>
      </c>
      <c r="J163" s="12"/>
    </row>
    <row r="164" customFormat="false" ht="15" hidden="false" customHeight="false" outlineLevel="0" collapsed="false">
      <c r="A164" s="12"/>
      <c r="B164" s="12"/>
      <c r="C164" s="12"/>
      <c r="D164" s="13"/>
      <c r="E164" s="12"/>
      <c r="F164" s="12"/>
      <c r="G164" s="12"/>
      <c r="H164" s="14"/>
      <c r="I164" s="15" t="str">
        <f aca="false">IF(OR(E164="",H164=""),"",E164*H164)</f>
        <v/>
      </c>
      <c r="J164" s="12"/>
    </row>
    <row r="165" customFormat="false" ht="15" hidden="false" customHeight="false" outlineLevel="0" collapsed="false">
      <c r="A165" s="12"/>
      <c r="B165" s="12"/>
      <c r="C165" s="12"/>
      <c r="D165" s="13"/>
      <c r="E165" s="12"/>
      <c r="F165" s="12"/>
      <c r="G165" s="12"/>
      <c r="H165" s="14"/>
      <c r="I165" s="15" t="str">
        <f aca="false">IF(OR(E165="",H165=""),"",E165*H165)</f>
        <v/>
      </c>
      <c r="J165" s="12"/>
    </row>
    <row r="166" customFormat="false" ht="15" hidden="false" customHeight="false" outlineLevel="0" collapsed="false">
      <c r="A166" s="12"/>
      <c r="B166" s="12"/>
      <c r="C166" s="12"/>
      <c r="D166" s="13"/>
      <c r="E166" s="12"/>
      <c r="F166" s="12"/>
      <c r="G166" s="12"/>
      <c r="H166" s="14"/>
      <c r="I166" s="15" t="str">
        <f aca="false">IF(OR(E166="",H166=""),"",E166*H166)</f>
        <v/>
      </c>
      <c r="J166" s="12"/>
    </row>
    <row r="167" customFormat="false" ht="15" hidden="false" customHeight="false" outlineLevel="0" collapsed="false">
      <c r="A167" s="12"/>
      <c r="B167" s="12"/>
      <c r="C167" s="12"/>
      <c r="D167" s="13"/>
      <c r="E167" s="12"/>
      <c r="F167" s="12"/>
      <c r="G167" s="12"/>
      <c r="H167" s="14"/>
      <c r="I167" s="15" t="str">
        <f aca="false">IF(OR(E167="",H167=""),"",E167*H167)</f>
        <v/>
      </c>
      <c r="J167" s="12"/>
    </row>
    <row r="168" customFormat="false" ht="15" hidden="false" customHeight="false" outlineLevel="0" collapsed="false">
      <c r="A168" s="12"/>
      <c r="B168" s="12"/>
      <c r="C168" s="12"/>
      <c r="D168" s="13"/>
      <c r="E168" s="12"/>
      <c r="F168" s="12"/>
      <c r="G168" s="12"/>
      <c r="H168" s="14"/>
      <c r="I168" s="15" t="str">
        <f aca="false">IF(OR(E168="",H168=""),"",E168*H168)</f>
        <v/>
      </c>
      <c r="J168" s="12"/>
    </row>
    <row r="169" customFormat="false" ht="15" hidden="false" customHeight="false" outlineLevel="0" collapsed="false">
      <c r="A169" s="12"/>
      <c r="B169" s="12"/>
      <c r="C169" s="12"/>
      <c r="D169" s="13"/>
      <c r="E169" s="12"/>
      <c r="F169" s="12"/>
      <c r="G169" s="12"/>
      <c r="H169" s="14"/>
      <c r="I169" s="15" t="str">
        <f aca="false">IF(OR(E169="",H169=""),"",E169*H169)</f>
        <v/>
      </c>
      <c r="J169" s="12"/>
    </row>
    <row r="170" customFormat="false" ht="15" hidden="false" customHeight="false" outlineLevel="0" collapsed="false">
      <c r="A170" s="12"/>
      <c r="B170" s="12"/>
      <c r="C170" s="12"/>
      <c r="D170" s="13"/>
      <c r="E170" s="12"/>
      <c r="F170" s="12"/>
      <c r="G170" s="12"/>
      <c r="H170" s="14"/>
      <c r="I170" s="15" t="str">
        <f aca="false">IF(OR(E170="",H170=""),"",E170*H170)</f>
        <v/>
      </c>
      <c r="J170" s="12"/>
    </row>
    <row r="171" customFormat="false" ht="15" hidden="false" customHeight="false" outlineLevel="0" collapsed="false">
      <c r="A171" s="12"/>
      <c r="B171" s="12"/>
      <c r="C171" s="12"/>
      <c r="D171" s="13"/>
      <c r="E171" s="12"/>
      <c r="F171" s="12"/>
      <c r="G171" s="12"/>
      <c r="H171" s="14"/>
      <c r="I171" s="15" t="str">
        <f aca="false">IF(OR(E171="",H171=""),"",E171*H171)</f>
        <v/>
      </c>
      <c r="J171" s="12"/>
    </row>
    <row r="172" customFormat="false" ht="15" hidden="false" customHeight="false" outlineLevel="0" collapsed="false">
      <c r="A172" s="12"/>
      <c r="B172" s="12"/>
      <c r="C172" s="12"/>
      <c r="D172" s="13"/>
      <c r="E172" s="12"/>
      <c r="F172" s="12"/>
      <c r="G172" s="12"/>
      <c r="H172" s="14"/>
      <c r="I172" s="15" t="str">
        <f aca="false">IF(OR(E172="",H172=""),"",E172*H172)</f>
        <v/>
      </c>
      <c r="J172" s="12"/>
    </row>
    <row r="173" customFormat="false" ht="15" hidden="false" customHeight="false" outlineLevel="0" collapsed="false">
      <c r="A173" s="12"/>
      <c r="B173" s="12"/>
      <c r="C173" s="12"/>
      <c r="D173" s="13"/>
      <c r="E173" s="12"/>
      <c r="F173" s="12"/>
      <c r="G173" s="12"/>
      <c r="H173" s="14"/>
      <c r="I173" s="15" t="str">
        <f aca="false">IF(OR(E173="",H173=""),"",E173*H173)</f>
        <v/>
      </c>
      <c r="J173" s="12"/>
    </row>
    <row r="174" customFormat="false" ht="15" hidden="false" customHeight="false" outlineLevel="0" collapsed="false">
      <c r="A174" s="12"/>
      <c r="B174" s="12"/>
      <c r="C174" s="12"/>
      <c r="D174" s="13"/>
      <c r="E174" s="12"/>
      <c r="F174" s="12"/>
      <c r="G174" s="12"/>
      <c r="H174" s="14"/>
      <c r="I174" s="15" t="str">
        <f aca="false">IF(OR(E174="",H174=""),"",E174*H174)</f>
        <v/>
      </c>
      <c r="J174" s="12"/>
    </row>
    <row r="175" customFormat="false" ht="15" hidden="false" customHeight="false" outlineLevel="0" collapsed="false">
      <c r="A175" s="12"/>
      <c r="B175" s="12"/>
      <c r="C175" s="12"/>
      <c r="D175" s="13"/>
      <c r="E175" s="12"/>
      <c r="F175" s="12"/>
      <c r="G175" s="12"/>
      <c r="H175" s="14"/>
      <c r="I175" s="15" t="str">
        <f aca="false">IF(OR(E175="",H175=""),"",E175*H175)</f>
        <v/>
      </c>
      <c r="J175" s="12"/>
    </row>
    <row r="176" customFormat="false" ht="15" hidden="false" customHeight="false" outlineLevel="0" collapsed="false">
      <c r="A176" s="12"/>
      <c r="B176" s="12"/>
      <c r="C176" s="12"/>
      <c r="D176" s="13"/>
      <c r="E176" s="12"/>
      <c r="F176" s="12"/>
      <c r="G176" s="12"/>
      <c r="H176" s="14"/>
      <c r="I176" s="15" t="str">
        <f aca="false">IF(OR(E176="",H176=""),"",E176*H176)</f>
        <v/>
      </c>
      <c r="J176" s="12"/>
    </row>
    <row r="177" customFormat="false" ht="15" hidden="false" customHeight="false" outlineLevel="0" collapsed="false">
      <c r="A177" s="12"/>
      <c r="B177" s="12"/>
      <c r="C177" s="12"/>
      <c r="D177" s="13"/>
      <c r="E177" s="12"/>
      <c r="F177" s="12"/>
      <c r="G177" s="12"/>
      <c r="H177" s="14"/>
      <c r="I177" s="15" t="str">
        <f aca="false">IF(OR(E177="",H177=""),"",E177*H177)</f>
        <v/>
      </c>
      <c r="J177" s="12"/>
    </row>
    <row r="178" customFormat="false" ht="15" hidden="false" customHeight="false" outlineLevel="0" collapsed="false">
      <c r="A178" s="12"/>
      <c r="B178" s="12"/>
      <c r="C178" s="12"/>
      <c r="D178" s="13"/>
      <c r="E178" s="12"/>
      <c r="F178" s="12"/>
      <c r="G178" s="12"/>
      <c r="H178" s="14"/>
      <c r="I178" s="15" t="str">
        <f aca="false">IF(OR(E178="",H178=""),"",E178*H178)</f>
        <v/>
      </c>
      <c r="J178" s="12"/>
    </row>
    <row r="179" customFormat="false" ht="15" hidden="false" customHeight="false" outlineLevel="0" collapsed="false">
      <c r="A179" s="12"/>
      <c r="B179" s="12"/>
      <c r="C179" s="12"/>
      <c r="D179" s="13"/>
      <c r="E179" s="12"/>
      <c r="F179" s="12"/>
      <c r="G179" s="12"/>
      <c r="H179" s="14"/>
      <c r="I179" s="15" t="str">
        <f aca="false">IF(OR(E179="",H179=""),"",E179*H179)</f>
        <v/>
      </c>
      <c r="J179" s="12"/>
    </row>
    <row r="180" customFormat="false" ht="15" hidden="false" customHeight="false" outlineLevel="0" collapsed="false">
      <c r="A180" s="12"/>
      <c r="B180" s="12"/>
      <c r="C180" s="12"/>
      <c r="D180" s="13"/>
      <c r="E180" s="12"/>
      <c r="F180" s="12"/>
      <c r="G180" s="12"/>
      <c r="H180" s="14"/>
      <c r="I180" s="15" t="str">
        <f aca="false">IF(OR(E180="",H180=""),"",E180*H180)</f>
        <v/>
      </c>
      <c r="J180" s="12"/>
    </row>
    <row r="181" customFormat="false" ht="15" hidden="false" customHeight="false" outlineLevel="0" collapsed="false">
      <c r="A181" s="12"/>
      <c r="B181" s="12"/>
      <c r="C181" s="12"/>
      <c r="D181" s="13"/>
      <c r="E181" s="12"/>
      <c r="F181" s="12"/>
      <c r="G181" s="12"/>
      <c r="H181" s="14"/>
      <c r="I181" s="15" t="str">
        <f aca="false">IF(OR(E181="",H181=""),"",E181*H181)</f>
        <v/>
      </c>
      <c r="J181" s="12"/>
    </row>
    <row r="182" customFormat="false" ht="15" hidden="false" customHeight="false" outlineLevel="0" collapsed="false">
      <c r="A182" s="12"/>
      <c r="B182" s="12"/>
      <c r="C182" s="12"/>
      <c r="D182" s="13"/>
      <c r="E182" s="12"/>
      <c r="F182" s="12"/>
      <c r="G182" s="12"/>
      <c r="H182" s="14"/>
      <c r="I182" s="15" t="str">
        <f aca="false">IF(OR(E182="",H182=""),"",E182*H182)</f>
        <v/>
      </c>
      <c r="J182" s="12"/>
    </row>
    <row r="183" customFormat="false" ht="15" hidden="false" customHeight="false" outlineLevel="0" collapsed="false">
      <c r="A183" s="12"/>
      <c r="B183" s="12"/>
      <c r="C183" s="12"/>
      <c r="D183" s="13"/>
      <c r="E183" s="12"/>
      <c r="F183" s="12"/>
      <c r="G183" s="12"/>
      <c r="H183" s="14"/>
      <c r="I183" s="15" t="str">
        <f aca="false">IF(OR(E183="",H183=""),"",E183*H183)</f>
        <v/>
      </c>
      <c r="J183" s="12"/>
    </row>
    <row r="184" customFormat="false" ht="15" hidden="false" customHeight="false" outlineLevel="0" collapsed="false">
      <c r="A184" s="12"/>
      <c r="B184" s="12"/>
      <c r="C184" s="12"/>
      <c r="D184" s="13"/>
      <c r="E184" s="12"/>
      <c r="F184" s="12"/>
      <c r="G184" s="12"/>
      <c r="H184" s="14"/>
      <c r="I184" s="15" t="str">
        <f aca="false">IF(OR(E184="",H184=""),"",E184*H184)</f>
        <v/>
      </c>
      <c r="J184" s="12"/>
    </row>
    <row r="185" customFormat="false" ht="15" hidden="false" customHeight="false" outlineLevel="0" collapsed="false">
      <c r="A185" s="12"/>
      <c r="B185" s="12"/>
      <c r="C185" s="12"/>
      <c r="D185" s="13"/>
      <c r="E185" s="12"/>
      <c r="F185" s="12"/>
      <c r="G185" s="12"/>
      <c r="H185" s="14"/>
      <c r="I185" s="15" t="str">
        <f aca="false">IF(OR(E185="",H185=""),"",E185*H185)</f>
        <v/>
      </c>
      <c r="J185" s="12"/>
    </row>
    <row r="186" customFormat="false" ht="15" hidden="false" customHeight="false" outlineLevel="0" collapsed="false">
      <c r="A186" s="12"/>
      <c r="B186" s="12"/>
      <c r="C186" s="12"/>
      <c r="D186" s="13"/>
      <c r="E186" s="12"/>
      <c r="F186" s="12"/>
      <c r="G186" s="12"/>
      <c r="H186" s="14"/>
      <c r="I186" s="15" t="str">
        <f aca="false">IF(OR(E186="",H186=""),"",E186*H186)</f>
        <v/>
      </c>
      <c r="J186" s="12"/>
    </row>
    <row r="187" customFormat="false" ht="15" hidden="false" customHeight="false" outlineLevel="0" collapsed="false">
      <c r="A187" s="12"/>
      <c r="B187" s="12"/>
      <c r="C187" s="12"/>
      <c r="D187" s="13"/>
      <c r="E187" s="12"/>
      <c r="F187" s="12"/>
      <c r="G187" s="12"/>
      <c r="H187" s="14"/>
      <c r="I187" s="15" t="str">
        <f aca="false">IF(OR(E187="",H187=""),"",E187*H187)</f>
        <v/>
      </c>
      <c r="J187" s="12"/>
    </row>
    <row r="188" customFormat="false" ht="15" hidden="false" customHeight="false" outlineLevel="0" collapsed="false">
      <c r="A188" s="12"/>
      <c r="B188" s="12"/>
      <c r="C188" s="12"/>
      <c r="D188" s="13"/>
      <c r="E188" s="12"/>
      <c r="F188" s="12"/>
      <c r="G188" s="12"/>
      <c r="H188" s="14"/>
      <c r="I188" s="15" t="str">
        <f aca="false">IF(OR(E188="",H188=""),"",E188*H188)</f>
        <v/>
      </c>
      <c r="J188" s="12"/>
    </row>
    <row r="189" customFormat="false" ht="15" hidden="false" customHeight="false" outlineLevel="0" collapsed="false">
      <c r="A189" s="12"/>
      <c r="B189" s="12"/>
      <c r="C189" s="12"/>
      <c r="D189" s="13"/>
      <c r="E189" s="12"/>
      <c r="F189" s="12"/>
      <c r="G189" s="12"/>
      <c r="H189" s="14"/>
      <c r="I189" s="15" t="str">
        <f aca="false">IF(OR(E189="",H189=""),"",E189*H189)</f>
        <v/>
      </c>
      <c r="J189" s="12"/>
    </row>
    <row r="190" customFormat="false" ht="15" hidden="false" customHeight="false" outlineLevel="0" collapsed="false">
      <c r="A190" s="12"/>
      <c r="B190" s="12"/>
      <c r="C190" s="12"/>
      <c r="D190" s="13"/>
      <c r="E190" s="12"/>
      <c r="F190" s="12"/>
      <c r="G190" s="12"/>
      <c r="H190" s="14"/>
      <c r="I190" s="15" t="str">
        <f aca="false">IF(OR(E190="",H190=""),"",E190*H190)</f>
        <v/>
      </c>
      <c r="J190" s="12"/>
    </row>
    <row r="191" customFormat="false" ht="15" hidden="false" customHeight="false" outlineLevel="0" collapsed="false">
      <c r="A191" s="12"/>
      <c r="B191" s="12"/>
      <c r="C191" s="12"/>
      <c r="D191" s="13"/>
      <c r="E191" s="12"/>
      <c r="F191" s="12"/>
      <c r="G191" s="12"/>
      <c r="H191" s="14"/>
      <c r="I191" s="15" t="str">
        <f aca="false">IF(OR(E191="",H191=""),"",E191*H191)</f>
        <v/>
      </c>
      <c r="J191" s="12"/>
    </row>
    <row r="192" customFormat="false" ht="15" hidden="false" customHeight="false" outlineLevel="0" collapsed="false">
      <c r="A192" s="12"/>
      <c r="B192" s="12"/>
      <c r="C192" s="12"/>
      <c r="D192" s="13"/>
      <c r="E192" s="12"/>
      <c r="F192" s="12"/>
      <c r="G192" s="12"/>
      <c r="H192" s="14"/>
      <c r="I192" s="15" t="str">
        <f aca="false">IF(OR(E192="",H192=""),"",E192*H192)</f>
        <v/>
      </c>
      <c r="J192" s="12"/>
    </row>
    <row r="193" customFormat="false" ht="15" hidden="false" customHeight="false" outlineLevel="0" collapsed="false">
      <c r="A193" s="12"/>
      <c r="B193" s="12"/>
      <c r="C193" s="12"/>
      <c r="D193" s="13"/>
      <c r="E193" s="12"/>
      <c r="F193" s="12"/>
      <c r="G193" s="12"/>
      <c r="H193" s="14"/>
      <c r="I193" s="15" t="str">
        <f aca="false">IF(OR(E193="",H193=""),"",E193*H193)</f>
        <v/>
      </c>
      <c r="J193" s="12"/>
    </row>
    <row r="194" customFormat="false" ht="15" hidden="false" customHeight="false" outlineLevel="0" collapsed="false">
      <c r="A194" s="12"/>
      <c r="B194" s="12"/>
      <c r="C194" s="12"/>
      <c r="D194" s="13"/>
      <c r="E194" s="12"/>
      <c r="F194" s="12"/>
      <c r="G194" s="12"/>
      <c r="H194" s="14"/>
      <c r="I194" s="15" t="str">
        <f aca="false">IF(OR(E194="",H194=""),"",E194*H194)</f>
        <v/>
      </c>
      <c r="J194" s="12"/>
    </row>
    <row r="195" customFormat="false" ht="15" hidden="false" customHeight="false" outlineLevel="0" collapsed="false">
      <c r="A195" s="12"/>
      <c r="B195" s="12"/>
      <c r="C195" s="12"/>
      <c r="D195" s="13"/>
      <c r="E195" s="12"/>
      <c r="F195" s="12"/>
      <c r="G195" s="12"/>
      <c r="H195" s="14"/>
      <c r="I195" s="15" t="str">
        <f aca="false">IF(OR(E195="",H195=""),"",E195*H195)</f>
        <v/>
      </c>
      <c r="J195" s="12"/>
    </row>
    <row r="196" customFormat="false" ht="15" hidden="false" customHeight="false" outlineLevel="0" collapsed="false">
      <c r="A196" s="12"/>
      <c r="B196" s="12"/>
      <c r="C196" s="12"/>
      <c r="D196" s="13"/>
      <c r="E196" s="12"/>
      <c r="F196" s="12"/>
      <c r="G196" s="12"/>
      <c r="H196" s="14"/>
      <c r="I196" s="15" t="str">
        <f aca="false">IF(OR(E196="",H196=""),"",E196*H196)</f>
        <v/>
      </c>
      <c r="J196" s="12"/>
    </row>
    <row r="197" customFormat="false" ht="15" hidden="false" customHeight="false" outlineLevel="0" collapsed="false">
      <c r="A197" s="12"/>
      <c r="B197" s="12"/>
      <c r="C197" s="12"/>
      <c r="D197" s="13"/>
      <c r="E197" s="12"/>
      <c r="F197" s="12"/>
      <c r="G197" s="12"/>
      <c r="H197" s="14"/>
      <c r="I197" s="15" t="str">
        <f aca="false">IF(OR(E197="",H197=""),"",E197*H197)</f>
        <v/>
      </c>
      <c r="J197" s="12"/>
    </row>
    <row r="198" customFormat="false" ht="15" hidden="false" customHeight="false" outlineLevel="0" collapsed="false">
      <c r="A198" s="12"/>
      <c r="B198" s="12"/>
      <c r="C198" s="12"/>
      <c r="D198" s="13"/>
      <c r="E198" s="12"/>
      <c r="F198" s="12"/>
      <c r="G198" s="12"/>
      <c r="H198" s="14"/>
      <c r="I198" s="15" t="str">
        <f aca="false">IF(OR(E198="",H198=""),"",E198*H198)</f>
        <v/>
      </c>
      <c r="J198" s="12"/>
    </row>
    <row r="199" customFormat="false" ht="15" hidden="false" customHeight="false" outlineLevel="0" collapsed="false">
      <c r="A199" s="12"/>
      <c r="B199" s="12"/>
      <c r="C199" s="12"/>
      <c r="D199" s="13"/>
      <c r="E199" s="12"/>
      <c r="F199" s="12"/>
      <c r="G199" s="12"/>
      <c r="H199" s="14"/>
      <c r="I199" s="15" t="str">
        <f aca="false">IF(OR(E199="",H199=""),"",E199*H199)</f>
        <v/>
      </c>
      <c r="J199" s="12"/>
    </row>
    <row r="200" customFormat="false" ht="15" hidden="false" customHeight="false" outlineLevel="0" collapsed="false">
      <c r="A200" s="12"/>
      <c r="B200" s="12"/>
      <c r="C200" s="12"/>
      <c r="D200" s="13"/>
      <c r="E200" s="12"/>
      <c r="F200" s="12"/>
      <c r="G200" s="12"/>
      <c r="H200" s="14"/>
      <c r="I200" s="15" t="str">
        <f aca="false">IF(OR(E200="",H200=""),"",E200*H200)</f>
        <v/>
      </c>
      <c r="J200" s="12"/>
    </row>
  </sheetData>
  <autoFilter ref="A1:J200"/>
  <conditionalFormatting sqref="E2:E200">
    <cfRule type="expression" priority="2" aboveAverage="0" equalAverage="0" bottom="0" percent="0" rank="0" text="" dxfId="6">
      <formula>AND(ISNUMBER($E2),$E2&lt;0)</formula>
    </cfRule>
    <cfRule type="expression" priority="3" aboveAverage="0" equalAverage="0" bottom="0" percent="0" rank="0" text="" dxfId="4">
      <formula>AND(ISNUMBER($E2),$E2=0)</formula>
    </cfRule>
  </conditionalFormatting>
  <conditionalFormatting sqref="A2:J200">
    <cfRule type="expression" priority="4" aboveAverage="0" equalAverage="0" bottom="0" percent="0" rank="0" text="" dxfId="7">
      <formula>AND(ISNUMBER($G2),ISNUMBER($E2),$E2&lt;=$G2)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23" t="s">
        <v>308</v>
      </c>
    </row>
    <row r="2" customFormat="false" ht="15" hidden="false" customHeight="false" outlineLevel="0" collapsed="false">
      <c r="A2" s="24" t="s">
        <v>309</v>
      </c>
    </row>
    <row r="3" customFormat="false" ht="15" hidden="false" customHeight="false" outlineLevel="0" collapsed="false">
      <c r="A3" s="24" t="s">
        <v>310</v>
      </c>
    </row>
    <row r="4" customFormat="false" ht="35.05" hidden="false" customHeight="false" outlineLevel="0" collapsed="false">
      <c r="A4" s="24" t="s">
        <v>311</v>
      </c>
    </row>
    <row r="5" customFormat="false" ht="23.85" hidden="false" customHeight="false" outlineLevel="0" collapsed="false">
      <c r="A5" s="24" t="s">
        <v>312</v>
      </c>
    </row>
    <row r="6" customFormat="false" ht="15" hidden="false" customHeight="false" outlineLevel="0" collapsed="false">
      <c r="A6" s="24" t="s">
        <v>313</v>
      </c>
    </row>
    <row r="7" customFormat="false" ht="15" hidden="false" customHeight="false" outlineLevel="0" collapsed="false">
      <c r="A7" s="24"/>
    </row>
    <row r="8" customFormat="false" ht="15" hidden="false" customHeight="false" outlineLevel="0" collapsed="false">
      <c r="A8" s="23" t="s">
        <v>314</v>
      </c>
    </row>
    <row r="9" customFormat="false" ht="35.05" hidden="false" customHeight="false" outlineLevel="0" collapsed="false">
      <c r="A9" s="24" t="s">
        <v>315</v>
      </c>
    </row>
    <row r="10" customFormat="false" ht="23.85" hidden="false" customHeight="false" outlineLevel="0" collapsed="false">
      <c r="A10" s="24" t="s">
        <v>316</v>
      </c>
    </row>
    <row r="11" customFormat="false" ht="23.85" hidden="false" customHeight="false" outlineLevel="0" collapsed="false">
      <c r="A11" s="24" t="s">
        <v>317</v>
      </c>
    </row>
    <row r="12" customFormat="false" ht="15" hidden="false" customHeight="false" outlineLevel="0" collapsed="false">
      <c r="A12" s="24" t="s">
        <v>318</v>
      </c>
    </row>
    <row r="13" customFormat="false" ht="15" hidden="false" customHeight="false" outlineLevel="0" collapsed="false">
      <c r="A13" s="24" t="s">
        <v>319</v>
      </c>
    </row>
    <row r="14" customFormat="false" ht="15" hidden="false" customHeight="false" outlineLevel="0" collapsed="false">
      <c r="A14" s="24" t="s">
        <v>320</v>
      </c>
    </row>
    <row r="15" customFormat="false" ht="23.85" hidden="false" customHeight="false" outlineLevel="0" collapsed="false">
      <c r="A15" s="24" t="s">
        <v>321</v>
      </c>
    </row>
    <row r="16" customFormat="false" ht="15" hidden="false" customHeight="false" outlineLevel="0" collapsed="false">
      <c r="A16" s="24" t="s">
        <v>322</v>
      </c>
    </row>
    <row r="17" customFormat="false" ht="15" hidden="false" customHeight="false" outlineLevel="0" collapsed="false">
      <c r="A17" s="24" t="s">
        <v>323</v>
      </c>
    </row>
    <row r="18" customFormat="false" ht="15" hidden="false" customHeight="false" outlineLevel="0" collapsed="false">
      <c r="A18" s="24" t="s">
        <v>324</v>
      </c>
    </row>
    <row r="19" customFormat="false" ht="35.05" hidden="false" customHeight="false" outlineLevel="0" collapsed="false">
      <c r="A19" s="24" t="s">
        <v>325</v>
      </c>
    </row>
    <row r="20" customFormat="false" ht="15" hidden="false" customHeight="false" outlineLevel="0" collapsed="false">
      <c r="A20" s="24" t="s">
        <v>326</v>
      </c>
    </row>
    <row r="21" customFormat="false" ht="23.85" hidden="false" customHeight="false" outlineLevel="0" collapsed="false">
      <c r="A21" s="24" t="s">
        <v>327</v>
      </c>
    </row>
    <row r="22" customFormat="false" ht="15" hidden="false" customHeight="false" outlineLevel="0" collapsed="false">
      <c r="A22" s="24"/>
    </row>
    <row r="23" customFormat="false" ht="23.85" hidden="false" customHeight="false" outlineLevel="0" collapsed="false">
      <c r="A23" s="24" t="s">
        <v>328</v>
      </c>
    </row>
    <row r="24" customFormat="false" ht="15" hidden="false" customHeight="false" outlineLevel="0" collapsed="false">
      <c r="A24" s="24"/>
    </row>
    <row r="25" customFormat="false" ht="35.05" hidden="false" customHeight="false" outlineLevel="0" collapsed="false">
      <c r="A25" s="24" t="s">
        <v>329</v>
      </c>
    </row>
    <row r="26" customFormat="false" ht="15" hidden="false" customHeight="false" outlineLevel="0" collapsed="false">
      <c r="A26" s="24"/>
    </row>
    <row r="27" customFormat="false" ht="15" hidden="false" customHeight="false" outlineLevel="0" collapsed="false">
      <c r="A27" s="23" t="s">
        <v>330</v>
      </c>
    </row>
    <row r="28" customFormat="false" ht="23.85" hidden="false" customHeight="false" outlineLevel="0" collapsed="false">
      <c r="A28" s="24" t="s">
        <v>331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2026-09-21T09:22:44Z</dcterms:created>
  <dc:creator>openpyxl</dc:creator>
  <dc:description/>
  <dc:language>en-US</dc:language>
  <cp:lastModifiedBy/>
  <dcterms:modified xsi:type="dcterms:W3CDTF">2026-09-21T09:22:44Z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