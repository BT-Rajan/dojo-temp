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esktop\Elite Academy\"/>
    </mc:Choice>
  </mc:AlternateContent>
  <xr:revisionPtr revIDLastSave="0" documentId="8_{C1C3EF40-8788-403E-B15E-62774A64B5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 Breakdown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1" l="1"/>
  <c r="D53" i="1" s="1"/>
  <c r="C52" i="1"/>
  <c r="D52" i="1" s="1"/>
  <c r="C51" i="1"/>
  <c r="D51" i="1" s="1"/>
  <c r="C50" i="1"/>
  <c r="D50" i="1" s="1"/>
  <c r="C49" i="1"/>
  <c r="D49" i="1" s="1"/>
  <c r="D54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20" i="1"/>
  <c r="D20" i="1" s="1"/>
  <c r="C39" i="1"/>
  <c r="D39" i="1" s="1"/>
  <c r="C43" i="1"/>
  <c r="D43" i="1" s="1"/>
  <c r="C42" i="1"/>
  <c r="D42" i="1" s="1"/>
  <c r="C41" i="1"/>
  <c r="D41" i="1" s="1"/>
  <c r="C40" i="1"/>
  <c r="D40" i="1" s="1"/>
  <c r="C31" i="1"/>
  <c r="D31" i="1" s="1"/>
  <c r="C32" i="1"/>
  <c r="D32" i="1" s="1"/>
  <c r="C33" i="1"/>
  <c r="D33" i="1" s="1"/>
  <c r="C34" i="1"/>
  <c r="D34" i="1" s="1"/>
  <c r="C30" i="1"/>
  <c r="D30" i="1" s="1"/>
  <c r="C35" i="1"/>
  <c r="C25" i="1"/>
  <c r="D25" i="1" s="1"/>
  <c r="C24" i="1"/>
  <c r="D24" i="1" s="1"/>
  <c r="C23" i="1"/>
  <c r="D23" i="1" s="1"/>
  <c r="C22" i="1"/>
  <c r="D22" i="1" s="1"/>
  <c r="C21" i="1"/>
  <c r="D21" i="1" s="1"/>
  <c r="D44" i="1" l="1"/>
  <c r="D35" i="1" l="1"/>
</calcChain>
</file>

<file path=xl/sharedStrings.xml><?xml version="1.0" encoding="utf-8"?>
<sst xmlns="http://schemas.openxmlformats.org/spreadsheetml/2006/main" count="54" uniqueCount="27">
  <si>
    <t>Size</t>
  </si>
  <si>
    <t>Qty</t>
  </si>
  <si>
    <t>110</t>
  </si>
  <si>
    <t>120</t>
  </si>
  <si>
    <t>130</t>
  </si>
  <si>
    <t>140</t>
  </si>
  <si>
    <t>150</t>
  </si>
  <si>
    <t>160</t>
  </si>
  <si>
    <t>170</t>
  </si>
  <si>
    <t>Total</t>
  </si>
  <si>
    <t>6 oz</t>
  </si>
  <si>
    <t>8 oz</t>
  </si>
  <si>
    <t>10 oz</t>
  </si>
  <si>
    <t>12 oz</t>
  </si>
  <si>
    <t>14 oz</t>
  </si>
  <si>
    <t>16 oz</t>
  </si>
  <si>
    <t>XS</t>
  </si>
  <si>
    <t>S</t>
  </si>
  <si>
    <t>M</t>
  </si>
  <si>
    <t>L</t>
  </si>
  <si>
    <t>XL</t>
  </si>
  <si>
    <t>Boxing Gloves ( Synthetic)</t>
  </si>
  <si>
    <t>MMA Gloves ( Synthetic)</t>
  </si>
  <si>
    <t>Gi Gray color</t>
  </si>
  <si>
    <t>Shin Guards (the cloth kind )</t>
  </si>
  <si>
    <t xml:space="preserve"> Head Guards (white color no plastic sheild)</t>
  </si>
  <si>
    <t>Below are the tables showing the quantities per item per size. The tables below shall be read in line with our comments communicated via whatsaap.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</si>
</sst>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164" fontId="0" fillId="0" borderId="1" xfId="1" applyNumberFormat="1" applyFont="1" applyBorder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54"/>
  <sheetViews>
    <sheetView tabSelected="1" view="pageBreakPreview" zoomScale="60" zoomScaleNormal="100" workbookViewId="0">
      <selection activeCell="L6" sqref="L6"/>
    </sheetView>
  </sheetViews>
  <sheetFormatPr defaultRowHeight="14.5" x14ac:dyDescent="0.35"/>
  <cols>
    <col min="1" max="1" width="25.6328125" customWidth="1"/>
    <col min="2" max="3" width="0" hidden="1" customWidth="1"/>
  </cols>
  <sheetData>
    <row r="3" spans="1:4" ht="15.5" x14ac:dyDescent="0.35">
      <c r="A3" s="7" t="s">
        <v>26</v>
      </c>
    </row>
    <row r="7" spans="1:4" ht="17" x14ac:dyDescent="0.4">
      <c r="A7" s="1" t="s">
        <v>23</v>
      </c>
    </row>
    <row r="8" spans="1:4" x14ac:dyDescent="0.35">
      <c r="A8" s="3" t="s">
        <v>0</v>
      </c>
      <c r="B8" s="3" t="s">
        <v>1</v>
      </c>
      <c r="C8" s="4"/>
      <c r="D8" s="3" t="s">
        <v>1</v>
      </c>
    </row>
    <row r="9" spans="1:4" x14ac:dyDescent="0.35">
      <c r="A9" s="4" t="s">
        <v>2</v>
      </c>
      <c r="B9" s="4">
        <v>30</v>
      </c>
      <c r="C9" s="4">
        <f>B9/$B$26</f>
        <v>0.06</v>
      </c>
      <c r="D9" s="5">
        <f>C9*$D$16</f>
        <v>12</v>
      </c>
    </row>
    <row r="10" spans="1:4" x14ac:dyDescent="0.35">
      <c r="A10" s="4" t="s">
        <v>3</v>
      </c>
      <c r="B10" s="4">
        <v>95</v>
      </c>
      <c r="C10" s="4">
        <f t="shared" ref="C10:C15" si="0">B10/$B$26</f>
        <v>0.19</v>
      </c>
      <c r="D10" s="5">
        <f t="shared" ref="D10:D15" si="1">C10*$D$16</f>
        <v>38</v>
      </c>
    </row>
    <row r="11" spans="1:4" x14ac:dyDescent="0.35">
      <c r="A11" s="4" t="s">
        <v>4</v>
      </c>
      <c r="B11" s="4">
        <v>140</v>
      </c>
      <c r="C11" s="4">
        <f t="shared" si="0"/>
        <v>0.28000000000000003</v>
      </c>
      <c r="D11" s="5">
        <f t="shared" si="1"/>
        <v>56.000000000000007</v>
      </c>
    </row>
    <row r="12" spans="1:4" x14ac:dyDescent="0.35">
      <c r="A12" s="4" t="s">
        <v>5</v>
      </c>
      <c r="B12" s="4">
        <v>55</v>
      </c>
      <c r="C12" s="4">
        <f t="shared" si="0"/>
        <v>0.11</v>
      </c>
      <c r="D12" s="5">
        <f t="shared" si="1"/>
        <v>22</v>
      </c>
    </row>
    <row r="13" spans="1:4" x14ac:dyDescent="0.35">
      <c r="A13" s="4" t="s">
        <v>6</v>
      </c>
      <c r="B13" s="4">
        <v>80</v>
      </c>
      <c r="C13" s="4">
        <f t="shared" si="0"/>
        <v>0.16</v>
      </c>
      <c r="D13" s="5">
        <f t="shared" si="1"/>
        <v>32</v>
      </c>
    </row>
    <row r="14" spans="1:4" x14ac:dyDescent="0.35">
      <c r="A14" s="4" t="s">
        <v>7</v>
      </c>
      <c r="B14" s="4">
        <v>65</v>
      </c>
      <c r="C14" s="4">
        <f t="shared" si="0"/>
        <v>0.13</v>
      </c>
      <c r="D14" s="5">
        <f t="shared" si="1"/>
        <v>26</v>
      </c>
    </row>
    <row r="15" spans="1:4" x14ac:dyDescent="0.35">
      <c r="A15" s="4" t="s">
        <v>8</v>
      </c>
      <c r="B15" s="4">
        <v>35</v>
      </c>
      <c r="C15" s="4">
        <f t="shared" si="0"/>
        <v>7.0000000000000007E-2</v>
      </c>
      <c r="D15" s="5">
        <f t="shared" si="1"/>
        <v>14.000000000000002</v>
      </c>
    </row>
    <row r="16" spans="1:4" x14ac:dyDescent="0.35">
      <c r="A16" s="3" t="s">
        <v>9</v>
      </c>
      <c r="B16" s="3">
        <v>500</v>
      </c>
      <c r="C16" s="4"/>
      <c r="D16" s="5">
        <v>200</v>
      </c>
    </row>
    <row r="18" spans="1:4" ht="17" x14ac:dyDescent="0.4">
      <c r="A18" s="1" t="s">
        <v>21</v>
      </c>
    </row>
    <row r="19" spans="1:4" x14ac:dyDescent="0.35">
      <c r="A19" s="3" t="s">
        <v>0</v>
      </c>
      <c r="B19" s="3" t="s">
        <v>1</v>
      </c>
      <c r="C19" s="4"/>
      <c r="D19" s="3" t="s">
        <v>1</v>
      </c>
    </row>
    <row r="20" spans="1:4" x14ac:dyDescent="0.35">
      <c r="A20" s="4" t="s">
        <v>10</v>
      </c>
      <c r="B20" s="4">
        <v>100</v>
      </c>
      <c r="C20" s="6">
        <f>B20/$B$26</f>
        <v>0.2</v>
      </c>
      <c r="D20" s="5">
        <f>C20*$D$26</f>
        <v>40</v>
      </c>
    </row>
    <row r="21" spans="1:4" x14ac:dyDescent="0.35">
      <c r="A21" s="4" t="s">
        <v>11</v>
      </c>
      <c r="B21" s="4">
        <v>150</v>
      </c>
      <c r="C21" s="6">
        <f t="shared" ref="C20:C25" si="2">B21/$B$26</f>
        <v>0.3</v>
      </c>
      <c r="D21" s="5">
        <f t="shared" ref="D20:D25" si="3">C21*$D$26</f>
        <v>60</v>
      </c>
    </row>
    <row r="22" spans="1:4" x14ac:dyDescent="0.35">
      <c r="A22" s="4" t="s">
        <v>12</v>
      </c>
      <c r="B22" s="4">
        <v>130</v>
      </c>
      <c r="C22" s="6">
        <f t="shared" si="2"/>
        <v>0.26</v>
      </c>
      <c r="D22" s="5">
        <f t="shared" si="3"/>
        <v>52</v>
      </c>
    </row>
    <row r="23" spans="1:4" x14ac:dyDescent="0.35">
      <c r="A23" s="4" t="s">
        <v>13</v>
      </c>
      <c r="B23" s="4">
        <v>80</v>
      </c>
      <c r="C23" s="6">
        <f t="shared" si="2"/>
        <v>0.16</v>
      </c>
      <c r="D23" s="5">
        <f t="shared" si="3"/>
        <v>32</v>
      </c>
    </row>
    <row r="24" spans="1:4" x14ac:dyDescent="0.35">
      <c r="A24" s="4" t="s">
        <v>14</v>
      </c>
      <c r="B24" s="4">
        <v>30</v>
      </c>
      <c r="C24" s="6">
        <f t="shared" si="2"/>
        <v>0.06</v>
      </c>
      <c r="D24" s="5">
        <f t="shared" si="3"/>
        <v>12</v>
      </c>
    </row>
    <row r="25" spans="1:4" x14ac:dyDescent="0.35">
      <c r="A25" s="4" t="s">
        <v>15</v>
      </c>
      <c r="B25" s="4">
        <v>10</v>
      </c>
      <c r="C25" s="6">
        <f t="shared" si="2"/>
        <v>0.02</v>
      </c>
      <c r="D25" s="5">
        <f t="shared" si="3"/>
        <v>4</v>
      </c>
    </row>
    <row r="26" spans="1:4" x14ac:dyDescent="0.35">
      <c r="A26" s="3" t="s">
        <v>9</v>
      </c>
      <c r="B26" s="3">
        <v>500</v>
      </c>
      <c r="C26" s="4"/>
      <c r="D26" s="5">
        <v>200</v>
      </c>
    </row>
    <row r="28" spans="1:4" ht="17" x14ac:dyDescent="0.4">
      <c r="A28" s="1" t="s">
        <v>22</v>
      </c>
      <c r="D28" s="2" t="s">
        <v>1</v>
      </c>
    </row>
    <row r="29" spans="1:4" x14ac:dyDescent="0.35">
      <c r="A29" s="3" t="s">
        <v>0</v>
      </c>
      <c r="B29" s="3" t="s">
        <v>1</v>
      </c>
      <c r="C29" s="4"/>
      <c r="D29" s="4"/>
    </row>
    <row r="30" spans="1:4" x14ac:dyDescent="0.35">
      <c r="A30" s="4" t="s">
        <v>16</v>
      </c>
      <c r="B30" s="4">
        <v>70</v>
      </c>
      <c r="C30" s="6">
        <f>B30/$B$35</f>
        <v>0.14000000000000001</v>
      </c>
      <c r="D30" s="5">
        <f t="shared" ref="D30:D31" si="4">C30*100</f>
        <v>14.000000000000002</v>
      </c>
    </row>
    <row r="31" spans="1:4" x14ac:dyDescent="0.35">
      <c r="A31" s="4" t="s">
        <v>17</v>
      </c>
      <c r="B31" s="4">
        <v>130</v>
      </c>
      <c r="C31" s="6">
        <f>B31/$B$35</f>
        <v>0.26</v>
      </c>
      <c r="D31" s="5">
        <f t="shared" si="4"/>
        <v>26</v>
      </c>
    </row>
    <row r="32" spans="1:4" x14ac:dyDescent="0.35">
      <c r="A32" s="4" t="s">
        <v>18</v>
      </c>
      <c r="B32" s="4">
        <v>170</v>
      </c>
      <c r="C32" s="6">
        <f>B32/$B$35</f>
        <v>0.34</v>
      </c>
      <c r="D32" s="5">
        <f>C32*100</f>
        <v>34</v>
      </c>
    </row>
    <row r="33" spans="1:4" x14ac:dyDescent="0.35">
      <c r="A33" s="4" t="s">
        <v>19</v>
      </c>
      <c r="B33" s="4">
        <v>90</v>
      </c>
      <c r="C33" s="6">
        <f>B33/$B$35</f>
        <v>0.18</v>
      </c>
      <c r="D33" s="5">
        <f t="shared" ref="D33:D35" si="5">C33*100</f>
        <v>18</v>
      </c>
    </row>
    <row r="34" spans="1:4" x14ac:dyDescent="0.35">
      <c r="A34" s="4" t="s">
        <v>20</v>
      </c>
      <c r="B34" s="4">
        <v>40</v>
      </c>
      <c r="C34" s="6">
        <f>B34/$B$35</f>
        <v>0.08</v>
      </c>
      <c r="D34" s="5">
        <f t="shared" si="5"/>
        <v>8</v>
      </c>
    </row>
    <row r="35" spans="1:4" x14ac:dyDescent="0.35">
      <c r="A35" s="3" t="s">
        <v>9</v>
      </c>
      <c r="B35" s="3">
        <v>500</v>
      </c>
      <c r="C35" s="6">
        <f>B35/$B$26</f>
        <v>1</v>
      </c>
      <c r="D35" s="5">
        <f ca="1">SUM(D30:D35)</f>
        <v>100</v>
      </c>
    </row>
    <row r="37" spans="1:4" ht="17" x14ac:dyDescent="0.4">
      <c r="A37" s="1" t="s">
        <v>24</v>
      </c>
    </row>
    <row r="38" spans="1:4" x14ac:dyDescent="0.35">
      <c r="A38" s="3" t="s">
        <v>0</v>
      </c>
      <c r="B38" s="3" t="s">
        <v>1</v>
      </c>
      <c r="C38" s="4"/>
      <c r="D38" s="3" t="s">
        <v>1</v>
      </c>
    </row>
    <row r="39" spans="1:4" x14ac:dyDescent="0.35">
      <c r="A39" s="4" t="s">
        <v>16</v>
      </c>
      <c r="B39" s="4">
        <v>90</v>
      </c>
      <c r="C39" s="4">
        <f>B39/$B$26</f>
        <v>0.18</v>
      </c>
      <c r="D39" s="5">
        <f>C39*$D$26</f>
        <v>36</v>
      </c>
    </row>
    <row r="40" spans="1:4" x14ac:dyDescent="0.35">
      <c r="A40" s="4" t="s">
        <v>17</v>
      </c>
      <c r="B40" s="4">
        <v>145</v>
      </c>
      <c r="C40" s="4">
        <f t="shared" ref="C39:C44" si="6">B40/$B$26</f>
        <v>0.28999999999999998</v>
      </c>
      <c r="D40" s="5">
        <f t="shared" ref="D39:D44" si="7">C40*$D$26</f>
        <v>57.999999999999993</v>
      </c>
    </row>
    <row r="41" spans="1:4" x14ac:dyDescent="0.35">
      <c r="A41" s="4" t="s">
        <v>18</v>
      </c>
      <c r="B41" s="4">
        <v>185</v>
      </c>
      <c r="C41" s="4">
        <f t="shared" si="6"/>
        <v>0.37</v>
      </c>
      <c r="D41" s="5">
        <f t="shared" si="7"/>
        <v>74</v>
      </c>
    </row>
    <row r="42" spans="1:4" x14ac:dyDescent="0.35">
      <c r="A42" s="4" t="s">
        <v>19</v>
      </c>
      <c r="B42" s="4">
        <v>60</v>
      </c>
      <c r="C42" s="4">
        <f t="shared" si="6"/>
        <v>0.12</v>
      </c>
      <c r="D42" s="5">
        <f t="shared" si="7"/>
        <v>24</v>
      </c>
    </row>
    <row r="43" spans="1:4" x14ac:dyDescent="0.35">
      <c r="A43" s="4" t="s">
        <v>20</v>
      </c>
      <c r="B43" s="4">
        <v>20</v>
      </c>
      <c r="C43" s="4">
        <f t="shared" si="6"/>
        <v>0.04</v>
      </c>
      <c r="D43" s="5">
        <f t="shared" si="7"/>
        <v>8</v>
      </c>
    </row>
    <row r="44" spans="1:4" x14ac:dyDescent="0.35">
      <c r="A44" s="3" t="s">
        <v>9</v>
      </c>
      <c r="B44" s="3">
        <v>500</v>
      </c>
      <c r="C44" s="4"/>
      <c r="D44" s="5">
        <f>SUM(D39:D43)</f>
        <v>200</v>
      </c>
    </row>
    <row r="47" spans="1:4" ht="17" x14ac:dyDescent="0.4">
      <c r="A47" s="1" t="s">
        <v>25</v>
      </c>
    </row>
    <row r="48" spans="1:4" x14ac:dyDescent="0.35">
      <c r="A48" s="3" t="s">
        <v>0</v>
      </c>
      <c r="B48" s="3" t="s">
        <v>1</v>
      </c>
      <c r="C48" s="4"/>
      <c r="D48" s="3" t="s">
        <v>1</v>
      </c>
    </row>
    <row r="49" spans="1:4" x14ac:dyDescent="0.35">
      <c r="A49" s="4" t="s">
        <v>16</v>
      </c>
      <c r="B49" s="4">
        <v>90</v>
      </c>
      <c r="C49" s="4">
        <f>B49/$B$26</f>
        <v>0.18</v>
      </c>
      <c r="D49" s="5">
        <f>C49*$D$26</f>
        <v>36</v>
      </c>
    </row>
    <row r="50" spans="1:4" x14ac:dyDescent="0.35">
      <c r="A50" s="4" t="s">
        <v>17</v>
      </c>
      <c r="B50" s="4">
        <v>145</v>
      </c>
      <c r="C50" s="4">
        <f t="shared" ref="C50:C53" si="8">B50/$B$26</f>
        <v>0.28999999999999998</v>
      </c>
      <c r="D50" s="5">
        <f t="shared" ref="D50:D53" si="9">C50*$D$26</f>
        <v>57.999999999999993</v>
      </c>
    </row>
    <row r="51" spans="1:4" x14ac:dyDescent="0.35">
      <c r="A51" s="4" t="s">
        <v>18</v>
      </c>
      <c r="B51" s="4">
        <v>185</v>
      </c>
      <c r="C51" s="4">
        <f t="shared" si="8"/>
        <v>0.37</v>
      </c>
      <c r="D51" s="5">
        <f t="shared" si="9"/>
        <v>74</v>
      </c>
    </row>
    <row r="52" spans="1:4" x14ac:dyDescent="0.35">
      <c r="A52" s="4" t="s">
        <v>19</v>
      </c>
      <c r="B52" s="4">
        <v>60</v>
      </c>
      <c r="C52" s="4">
        <f t="shared" si="8"/>
        <v>0.12</v>
      </c>
      <c r="D52" s="5">
        <f t="shared" si="9"/>
        <v>24</v>
      </c>
    </row>
    <row r="53" spans="1:4" x14ac:dyDescent="0.35">
      <c r="A53" s="4" t="s">
        <v>20</v>
      </c>
      <c r="B53" s="4">
        <v>20</v>
      </c>
      <c r="C53" s="4">
        <f t="shared" si="8"/>
        <v>0.04</v>
      </c>
      <c r="D53" s="5">
        <f t="shared" si="9"/>
        <v>8</v>
      </c>
    </row>
    <row r="54" spans="1:4" x14ac:dyDescent="0.35">
      <c r="A54" s="3" t="s">
        <v>9</v>
      </c>
      <c r="B54" s="3">
        <v>500</v>
      </c>
      <c r="C54" s="4"/>
      <c r="D54" s="5">
        <f>SUM(D49:D53)</f>
        <v>200</v>
      </c>
    </row>
  </sheetData>
  <pageMargins left="0.75" right="0.75" top="1" bottom="1" header="0.5" footer="0.5"/>
  <pageSetup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Nasser aljedi</cp:lastModifiedBy>
  <cp:lastPrinted>2026-08-07T15:42:40Z</cp:lastPrinted>
  <dcterms:created xsi:type="dcterms:W3CDTF">2026-07-01T11:15:32Z</dcterms:created>
  <dcterms:modified xsi:type="dcterms:W3CDTF">2026-08-07T15:43:33Z</dcterms:modified>
</cp:coreProperties>
</file>